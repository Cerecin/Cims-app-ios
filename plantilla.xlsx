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" sheetId="1" state="visible" r:id="rId1"/>
    <sheet xmlns:r="http://schemas.openxmlformats.org/officeDocument/2006/relationships" name="100 Cims FEEC" sheetId="2" state="visible" r:id="rId2"/>
    <sheet xmlns:r="http://schemas.openxmlformats.org/officeDocument/2006/relationships" name="3000 Pirineu" sheetId="3" state="visible" r:id="rId3"/>
    <sheet xmlns:r="http://schemas.openxmlformats.org/officeDocument/2006/relationships" name="3000 Pirineu català" sheetId="4" state="visible" r:id="rId4"/>
    <sheet xmlns:r="http://schemas.openxmlformats.org/officeDocument/2006/relationships" name="4000 Alps" sheetId="5" state="visible" r:id="rId5"/>
    <sheet xmlns:r="http://schemas.openxmlformats.org/officeDocument/2006/relationships" name="Sostres comarcals" sheetId="6" state="visible" r:id="rId6"/>
    <sheet xmlns:r="http://schemas.openxmlformats.org/officeDocument/2006/relationships" name="Els meus punts" sheetId="7" state="visible" r:id="rId7"/>
    <sheet xmlns:r="http://schemas.openxmlformats.org/officeDocument/2006/relationships" name="Ru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0000"/>
    <numFmt numFmtId="166" formatCode="#,##0.0"/>
    <numFmt numFmtId="167" formatCode="0.0"/>
  </numFmts>
  <fonts count="37">
    <font>
      <name val="Calibri"/>
      <family val="2"/>
      <color theme="1"/>
      <sz val="11"/>
      <scheme val="minor"/>
    </font>
    <font>
      <name val="Arial"/>
      <b val="1"/>
      <color rgb="004A5468"/>
      <sz val="18"/>
    </font>
    <font>
      <name val="Arial"/>
      <i val="1"/>
      <color rgb="007A8394"/>
      <sz val="10"/>
    </font>
    <font>
      <name val="Arial"/>
      <b val="1"/>
      <color rgb="002E5E8C"/>
      <sz val="10"/>
    </font>
    <font>
      <name val="Arial"/>
      <b val="1"/>
      <color rgb="005B4B8A"/>
      <sz val="10"/>
    </font>
    <font>
      <name val="Arial"/>
      <b val="1"/>
      <color rgb="008A6D0B"/>
      <sz val="10"/>
    </font>
    <font>
      <name val="Arial"/>
      <color rgb="003F4756"/>
      <sz val="10"/>
    </font>
    <font>
      <name val="Arial"/>
      <b val="1"/>
      <color rgb="003F4756"/>
      <sz val="10"/>
    </font>
    <font>
      <name val="Arial"/>
      <color rgb="002E5E8C"/>
      <sz val="10"/>
      <u val="single"/>
    </font>
    <font>
      <name val="Arial"/>
      <b val="1"/>
      <color rgb="009B3846"/>
      <sz val="10"/>
    </font>
    <font>
      <name val="Arial"/>
      <b val="1"/>
      <color rgb="009A5527"/>
      <sz val="10"/>
    </font>
    <font>
      <name val="Arial"/>
      <b val="1"/>
      <color rgb="002F7A4B"/>
      <sz val="10"/>
    </font>
    <font>
      <name val="Arial"/>
      <color rgb="007A8394"/>
      <sz val="10"/>
    </font>
    <font>
      <name val="Arial"/>
      <b val="1"/>
      <color rgb="004A5468"/>
      <sz val="20"/>
    </font>
    <font>
      <name val="Arial"/>
      <b val="1"/>
      <color rgb="004A5468"/>
      <sz val="12"/>
    </font>
    <font>
      <name val="Arial"/>
      <b val="1"/>
      <color rgb="005B4B8A"/>
      <sz val="9"/>
    </font>
    <font>
      <name val="Arial"/>
      <b val="1"/>
      <color rgb="005B4B8A"/>
      <sz val="22"/>
    </font>
    <font>
      <name val="Arial"/>
      <b val="1"/>
      <color rgb="009A5527"/>
      <sz val="9"/>
    </font>
    <font>
      <name val="Arial"/>
      <b val="1"/>
      <color rgb="009A5527"/>
      <sz val="22"/>
    </font>
    <font>
      <name val="Arial"/>
      <b val="1"/>
      <color rgb="002F7A4B"/>
      <sz val="9"/>
    </font>
    <font>
      <name val="Arial"/>
      <b val="1"/>
      <color rgb="002F7A4B"/>
      <sz val="22"/>
    </font>
    <font>
      <name val="Arial"/>
      <b val="1"/>
      <color rgb="002E5E8C"/>
      <sz val="9"/>
    </font>
    <font>
      <name val="Arial"/>
      <b val="1"/>
      <color rgb="002E5E8C"/>
      <sz val="22"/>
    </font>
    <font>
      <name val="Arial"/>
      <b val="1"/>
      <color rgb="008A6D0B"/>
      <sz val="9"/>
    </font>
    <font>
      <name val="Arial"/>
      <b val="1"/>
      <color rgb="008A6D0B"/>
      <sz val="22"/>
    </font>
    <font>
      <name val="Arial"/>
      <b val="1"/>
      <color rgb="004A5468"/>
      <sz val="9"/>
    </font>
    <font>
      <name val="Arial"/>
      <b val="1"/>
      <color rgb="004A5468"/>
      <sz val="22"/>
    </font>
    <font>
      <name val="Arial"/>
      <b val="1"/>
      <color rgb="004A5468"/>
      <sz val="10"/>
    </font>
    <font>
      <name val="Consolas"/>
      <color rgb="002F7A4B"/>
      <sz val="11"/>
    </font>
    <font>
      <name val="Consolas"/>
      <color rgb="002E5E8C"/>
      <sz val="11"/>
    </font>
    <font>
      <name val="Arial"/>
      <color rgb="007A8394"/>
      <sz val="9"/>
    </font>
    <font>
      <name val="Arial"/>
      <b val="1"/>
      <color rgb="009B3846"/>
      <sz val="9"/>
    </font>
    <font>
      <name val="Arial"/>
      <b val="1"/>
      <color rgb="009B3846"/>
      <sz val="22"/>
    </font>
    <font>
      <name val="Consolas"/>
      <color rgb="009B3846"/>
      <sz val="11"/>
    </font>
    <font>
      <name val="Consolas"/>
      <color rgb="008A6D0B"/>
      <sz val="11"/>
    </font>
    <font>
      <name val="Consolas"/>
      <color rgb="009A5527"/>
      <sz val="11"/>
    </font>
    <font>
      <name val="Arial"/>
      <b val="1"/>
      <color rgb="0055703A"/>
      <sz val="10"/>
    </font>
  </fonts>
  <fills count="10">
    <fill>
      <patternFill/>
    </fill>
    <fill>
      <patternFill patternType="gray125"/>
    </fill>
    <fill>
      <patternFill patternType="solid">
        <fgColor rgb="00DCEBF8"/>
        <bgColor rgb="00DCEBF8"/>
      </patternFill>
    </fill>
    <fill>
      <patternFill patternType="solid">
        <fgColor rgb="00E8E2F7"/>
        <bgColor rgb="00E8E2F7"/>
      </patternFill>
    </fill>
    <fill>
      <patternFill patternType="solid">
        <fgColor rgb="00FFF4CC"/>
        <bgColor rgb="00FFF4CC"/>
      </patternFill>
    </fill>
    <fill>
      <patternFill patternType="solid">
        <fgColor rgb="00F9DEE2"/>
        <bgColor rgb="00F9DEE2"/>
      </patternFill>
    </fill>
    <fill>
      <patternFill patternType="solid">
        <fgColor rgb="00FDE7D6"/>
        <bgColor rgb="00FDE7D6"/>
      </patternFill>
    </fill>
    <fill>
      <patternFill patternType="solid">
        <fgColor rgb="00DDF2E3"/>
        <bgColor rgb="00DDF2E3"/>
      </patternFill>
    </fill>
    <fill>
      <patternFill patternType="solid">
        <fgColor rgb="00F2F3F6"/>
        <bgColor rgb="00F2F3F6"/>
      </patternFill>
    </fill>
    <fill>
      <patternFill patternType="solid">
        <fgColor rgb="00E6EFD9"/>
        <bgColor rgb="00E6EFD9"/>
      </patternFill>
    </fill>
  </fills>
  <borders count="11">
    <border>
      <left/>
      <right/>
      <top/>
      <bottom/>
      <diagonal/>
    </border>
    <border>
      <bottom style="medium">
        <color rgb="002E5E8C"/>
      </bottom>
    </border>
    <border>
      <bottom style="medium">
        <color rgb="005B4B8A"/>
      </bottom>
    </border>
    <border>
      <bottom style="medium">
        <color rgb="008A6D0B"/>
      </bottom>
    </border>
    <border>
      <bottom style="thin">
        <color rgb="00E3E6EC"/>
      </bottom>
    </border>
    <border>
      <bottom style="medium">
        <color rgb="009B3846"/>
      </bottom>
    </border>
    <border>
      <bottom style="medium">
        <color rgb="009A5527"/>
      </bottom>
    </border>
    <border>
      <bottom style="medium">
        <color rgb="002F7A4B"/>
      </bottom>
    </border>
    <border>
      <top style="medium">
        <color rgb="009A5527"/>
      </top>
    </border>
    <border>
      <top style="medium">
        <color rgb="005B4B8A"/>
      </top>
    </border>
    <border>
      <top style="medium">
        <color rgb="002E5E8C"/>
      </top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3" fillId="0" borderId="0" pivotButton="0" quotePrefix="0" xfId="0"/>
    <xf numFmtId="0" fontId="2" fillId="0" borderId="0" pivotButton="0" quotePrefix="0" xfId="0"/>
    <xf numFmtId="0" fontId="14" fillId="0" borderId="0" applyAlignment="1" pivotButton="0" quotePrefix="0" xfId="0">
      <alignment vertical="center"/>
    </xf>
    <xf numFmtId="0" fontId="15" fillId="3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9" fillId="7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 vertical="center" wrapText="1"/>
    </xf>
    <xf numFmtId="0" fontId="23" fillId="4" borderId="0" applyAlignment="1" pivotButton="0" quotePrefix="0" xfId="0">
      <alignment horizontal="center" vertical="center" wrapText="1"/>
    </xf>
    <xf numFmtId="0" fontId="25" fillId="8" borderId="0" applyAlignment="1" pivotButton="0" quotePrefix="0" xfId="0">
      <alignment horizontal="center" vertical="center" wrapText="1"/>
    </xf>
    <xf numFmtId="1" fontId="16" fillId="3" borderId="0" applyAlignment="1" pivotButton="0" quotePrefix="0" xfId="0">
      <alignment horizontal="center" vertical="center"/>
    </xf>
    <xf numFmtId="1" fontId="18" fillId="6" borderId="0" applyAlignment="1" pivotButton="0" quotePrefix="0" xfId="0">
      <alignment horizontal="center" vertical="center"/>
    </xf>
    <xf numFmtId="9" fontId="20" fillId="7" borderId="0" applyAlignment="1" pivotButton="0" quotePrefix="0" xfId="0">
      <alignment horizontal="center" vertical="center"/>
    </xf>
    <xf numFmtId="1" fontId="22" fillId="2" borderId="0" applyAlignment="1" pivotButton="0" quotePrefix="0" xfId="0">
      <alignment horizontal="center" vertical="center"/>
    </xf>
    <xf numFmtId="1" fontId="24" fillId="4" borderId="0" applyAlignment="1" pivotButton="0" quotePrefix="0" xfId="0">
      <alignment horizontal="center" vertical="center"/>
    </xf>
    <xf numFmtId="9" fontId="22" fillId="2" borderId="0" applyAlignment="1" pivotButton="0" quotePrefix="0" xfId="0">
      <alignment horizontal="center" vertical="center"/>
    </xf>
    <xf numFmtId="1" fontId="26" fillId="8" borderId="0" applyAlignment="1" pivotButton="0" quotePrefix="0" xfId="0">
      <alignment horizontal="center" vertical="center"/>
    </xf>
    <xf numFmtId="0" fontId="27" fillId="0" borderId="0" pivotButton="0" quotePrefix="0" xfId="0"/>
    <xf numFmtId="0" fontId="28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0" fillId="0" borderId="0" applyAlignment="1" pivotButton="0" quotePrefix="0" xfId="0">
      <alignment vertical="top"/>
    </xf>
    <xf numFmtId="0" fontId="14" fillId="0" borderId="0" applyAlignment="1" pivotButton="0" quotePrefix="0" xfId="0">
      <alignment vertical="center" wrapText="1"/>
    </xf>
    <xf numFmtId="0" fontId="31" fillId="5" borderId="0" applyAlignment="1" pivotButton="0" quotePrefix="0" xfId="0">
      <alignment horizontal="center" vertical="center" wrapText="1"/>
    </xf>
    <xf numFmtId="1" fontId="32" fillId="5" borderId="0" applyAlignment="1" pivotButton="0" quotePrefix="0" xfId="0">
      <alignment horizontal="center" vertical="center"/>
    </xf>
    <xf numFmtId="9" fontId="32" fillId="5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0" fontId="1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9" fontId="6" fillId="0" borderId="4" applyAlignment="1" pivotButton="0" quotePrefix="0" xfId="0">
      <alignment horizontal="center" vertical="center"/>
    </xf>
    <xf numFmtId="0" fontId="4" fillId="3" borderId="0" pivotButton="0" quotePrefix="0" xfId="0"/>
    <xf numFmtId="0" fontId="6" fillId="0" borderId="4" applyAlignment="1" pivotButton="0" quotePrefix="0" xfId="0">
      <alignment horizontal="center"/>
    </xf>
    <xf numFmtId="0" fontId="36" fillId="9" borderId="0" pivotButton="0" quotePrefix="0" xfId="0"/>
    <xf numFmtId="0" fontId="11" fillId="7" borderId="0" pivotButton="0" quotePrefix="0" xfId="0"/>
    <xf numFmtId="0" fontId="10" fillId="6" borderId="0" pivotButton="0" quotePrefix="0" xfId="0"/>
    <xf numFmtId="0" fontId="9" fillId="5" borderId="0" pivotButton="0" quotePrefix="0" xfId="0"/>
    <xf numFmtId="0" fontId="3" fillId="2" borderId="0" pivotButton="0" quotePrefix="0" xfId="0"/>
    <xf numFmtId="0" fontId="5" fillId="4" borderId="0" pivotButton="0" quotePrefix="0" xfId="0"/>
    <xf numFmtId="0" fontId="7" fillId="2" borderId="10" pivotButton="0" quotePrefix="0" xfId="0"/>
    <xf numFmtId="0" fontId="7" fillId="2" borderId="10" applyAlignment="1" pivotButton="0" quotePrefix="0" xfId="0">
      <alignment horizontal="center"/>
    </xf>
    <xf numFmtId="0" fontId="7" fillId="0" borderId="4" pivotButton="0" quotePrefix="0" xfId="0"/>
    <xf numFmtId="9" fontId="6" fillId="0" borderId="4" applyAlignment="1" pivotButton="0" quotePrefix="0" xfId="0">
      <alignment horizontal="center"/>
    </xf>
    <xf numFmtId="0" fontId="4" fillId="3" borderId="9" applyAlignment="1" pivotButton="0" quotePrefix="0" xfId="0">
      <alignment horizontal="left"/>
    </xf>
    <xf numFmtId="0" fontId="4" fillId="3" borderId="9" applyAlignment="1" pivotButton="0" quotePrefix="0" xfId="0">
      <alignment horizontal="center"/>
    </xf>
    <xf numFmtId="9" fontId="4" fillId="3" borderId="9" applyAlignment="1" pivotButton="0" quotePrefix="0" xfId="0">
      <alignment horizontal="center"/>
    </xf>
    <xf numFmtId="0" fontId="1" fillId="0" borderId="0" pivotButton="0" quotePrefix="0" xfId="0"/>
    <xf numFmtId="0" fontId="5" fillId="4" borderId="3" applyAlignment="1" pivotButton="0" quotePrefix="0" xfId="0">
      <alignment horizontal="center" vertical="center" wrapText="1"/>
    </xf>
    <xf numFmtId="3" fontId="6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 vertical="center"/>
    </xf>
    <xf numFmtId="164" fontId="6" fillId="0" borderId="4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5" borderId="5" applyAlignment="1" pivotButton="0" quotePrefix="0" xfId="0">
      <alignment horizontal="center" vertical="center" wrapText="1"/>
    </xf>
    <xf numFmtId="0" fontId="11" fillId="7" borderId="7" applyAlignment="1" pivotButton="0" quotePrefix="0" xfId="0">
      <alignment horizontal="center" vertical="center" wrapText="1"/>
    </xf>
    <xf numFmtId="166" fontId="6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left" vertical="center"/>
    </xf>
    <xf numFmtId="0" fontId="10" fillId="6" borderId="6" applyAlignment="1" pivotButton="0" quotePrefix="0" xfId="0">
      <alignment horizontal="center" vertical="center" wrapText="1"/>
    </xf>
    <xf numFmtId="167" fontId="6" fillId="0" borderId="4" applyAlignment="1" pivotButton="0" quotePrefix="0" xfId="0">
      <alignment horizontal="center" vertical="center"/>
    </xf>
    <xf numFmtId="0" fontId="7" fillId="6" borderId="8" pivotButton="0" quotePrefix="0" xfId="0"/>
    <xf numFmtId="0" fontId="0" fillId="6" borderId="8" pivotButton="0" quotePrefix="0" xfId="0"/>
    <xf numFmtId="166" fontId="7" fillId="6" borderId="8" applyAlignment="1" pivotButton="0" quotePrefix="0" xfId="0">
      <alignment horizontal="center"/>
    </xf>
    <xf numFmtId="3" fontId="7" fillId="6" borderId="8" applyAlignment="1" pivotButton="0" quotePrefix="0" xfId="0">
      <alignment horizontal="center"/>
    </xf>
  </cellXfs>
  <cellStyles count="1">
    <cellStyle name="Normal" xfId="0" builtinId="0" hidden="0"/>
  </cellStyles>
  <dxfs count="18">
    <dxf>
      <fill>
        <patternFill patternType="solid">
          <fgColor rgb="00DDF2E3"/>
          <bgColor rgb="00DDF2E3"/>
        </patternFill>
      </fill>
    </dxf>
    <dxf>
      <font>
        <name val="Arial"/>
        <b val="1"/>
        <color rgb="009A5527"/>
      </font>
    </dxf>
    <dxf>
      <font>
        <name val="Arial"/>
        <b val="1"/>
        <color rgb="002F7A4B"/>
      </font>
      <fill>
        <patternFill patternType="solid">
          <fgColor rgb="00BFE6CB"/>
          <bgColor rgb="00BFE6CB"/>
        </patternFill>
      </fill>
    </dxf>
    <dxf>
      <font>
        <name val="Arial"/>
        <color rgb="00B0B6C2"/>
      </font>
    </dxf>
    <dxf>
      <font>
        <name val="Arial"/>
        <b val="1"/>
        <color rgb="005B4B8A"/>
      </font>
      <fill>
        <patternFill patternType="solid">
          <fgColor rgb="00E8E2F7"/>
          <bgColor rgb="00E8E2F7"/>
        </patternFill>
      </fill>
    </dxf>
    <dxf>
      <font>
        <name val="Arial"/>
        <color rgb="007A8394"/>
      </font>
    </dxf>
    <dxf>
      <font>
        <name val="Arial"/>
        <b val="1"/>
        <color rgb="008A6D0B"/>
      </font>
      <fill>
        <patternFill patternType="solid">
          <fgColor rgb="00FFF4CC"/>
          <bgColor rgb="00FFF4CC"/>
        </patternFill>
      </fill>
    </dxf>
    <dxf>
      <font>
        <name val="Arial"/>
        <b val="1"/>
        <color rgb="002E5E8C"/>
      </font>
      <fill>
        <patternFill patternType="solid">
          <fgColor rgb="00DCEBF8"/>
          <bgColor rgb="00DCEBF8"/>
        </patternFill>
      </fill>
    </dxf>
    <dxf>
      <font>
        <name val="Arial"/>
        <color rgb="008A6D0B"/>
      </font>
      <fill>
        <patternFill patternType="solid">
          <fgColor rgb="00FFF4CC"/>
          <bgColor rgb="00FFF4CC"/>
        </patternFill>
      </fill>
    </dxf>
    <dxf>
      <font>
        <name val="Arial"/>
        <i val="1"/>
        <color rgb="007A8394"/>
      </font>
    </dxf>
    <dxf>
      <font>
        <name val="Arial"/>
        <b val="1"/>
        <color rgb="009B3846"/>
      </font>
      <fill>
        <patternFill patternType="solid">
          <fgColor rgb="00F9DEE2"/>
          <bgColor rgb="00F9DEE2"/>
        </patternFill>
      </fill>
    </dxf>
    <dxf>
      <font>
        <name val="Arial"/>
        <i val="1"/>
        <color rgb="007A8394"/>
      </font>
      <fill>
        <patternFill patternType="solid">
          <fgColor rgb="00F2F3F6"/>
          <bgColor rgb="00F2F3F6"/>
        </patternFill>
      </fill>
    </dxf>
    <dxf>
      <font>
        <name val="Arial"/>
        <b val="1"/>
        <color rgb="009A5527"/>
      </font>
      <fill>
        <patternFill patternType="solid">
          <fgColor rgb="00FDE7D6"/>
          <bgColor rgb="00FDE7D6"/>
        </patternFill>
      </fill>
    </dxf>
    <dxf>
      <font>
        <name val="Arial"/>
        <b val="1"/>
        <color rgb="002F7A4B"/>
      </font>
      <fill>
        <patternFill patternType="solid">
          <fgColor rgb="00DDF2E3"/>
          <bgColor rgb="00DDF2E3"/>
        </patternFill>
      </fill>
    </dxf>
    <dxf>
      <font>
        <name val="Arial"/>
        <b val="1"/>
        <color rgb="0055703A"/>
      </font>
      <fill>
        <patternFill patternType="solid">
          <fgColor rgb="00E6EFD9"/>
          <bgColor rgb="00E6EFD9"/>
        </patternFill>
      </fill>
    </dxf>
    <dxf>
      <font>
        <name val="Arial"/>
        <color rgb="007A8394"/>
      </font>
      <fill>
        <patternFill patternType="solid">
          <fgColor rgb="00F2F3F6"/>
          <bgColor rgb="00F2F3F6"/>
        </patternFill>
      </fill>
    </dxf>
    <dxf>
      <font>
        <name val="Arial"/>
        <color rgb="002E5E8C"/>
      </font>
      <fill>
        <patternFill patternType="solid">
          <fgColor rgb="00DCEBF8"/>
          <bgColor rgb="00DCEBF8"/>
        </patternFill>
      </fill>
    </dxf>
    <dxf>
      <font>
        <name val="Arial"/>
        <b val="1"/>
        <color rgb="002E5E8C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Per_comarca" displayName="Per_comarca" ref="B21:H69" headerRowCount="1">
  <autoFilter ref="B21:H69"/>
  <tableColumns count="7">
    <tableColumn id="2" name="Comarca principal"/>
    <tableColumn id="3" name="Cims a la llista"/>
    <tableColumn id="4" name="Essencials"/>
    <tableColumn id="5" name="Essencials assolits"/>
    <tableColumn id="6" name="Essencials pendents"/>
    <tableColumn id="7" name="No essencials assolits"/>
    <tableColumn id="8" name="% essencials fets"/>
  </tableColumns>
  <tableStyleInfo name="TableStyleLight1" showRowStripes="1" showColumnStripes="0"/>
</table>
</file>

<file path=xl/tables/table2.xml><?xml version="1.0" encoding="utf-8"?>
<table xmlns="http://schemas.openxmlformats.org/spreadsheetml/2006/main" id="2" name="Cims_FEEC" displayName="Cims_FEEC" ref="A4:O526" headerRowCount="1">
  <autoFilter ref="A4:O526"/>
  <tableColumns count="15">
    <tableColumn id="1" name="Cim"/>
    <tableColumn id="2" name="Altitud (m)"/>
    <tableColumn id="3" name="Comarca principal"/>
    <tableColumn id="4" name="Comarques / territoris"/>
    <tableColumn id="5" name="Tipus"/>
    <tableColumn id="6" name="Sostre comarcal"/>
    <tableColumn id="7" name="Assolit"/>
    <tableColumn id="8" name="Data"/>
    <tableColumn id="9" name="Punt(s) al meu KMZ"/>
    <tableColumn id="10" name="Latitud"/>
    <tableColumn id="11" name="Longitud"/>
    <tableColumn id="12" name="Fitxa FEEC"/>
    <tableColumn id="13" name="Mapa"/>
    <tableColumn id="14" name="Ascensions"/>
    <tableColumn id="15" name="Dates de les ascensions"/>
  </tableColumns>
  <tableStyleInfo name="TableStyleLight1" showRowStripes="1" showColumnStripes="0"/>
</table>
</file>

<file path=xl/tables/table3.xml><?xml version="1.0" encoding="utf-8"?>
<table xmlns="http://schemas.openxmlformats.org/spreadsheetml/2006/main" id="3" name="Tresmils_Pirineu" displayName="Tresmils_Pirineu" ref="A4:K219" headerRowCount="1">
  <autoFilter ref="A4:K219"/>
  <tableColumns count="11">
    <tableColumn id="1" name="Nº UIAA"/>
    <tableColumn id="2" name="Cim"/>
    <tableColumn id="3" name="Altitud (m)"/>
    <tableColumn id="4" name="Zona"/>
    <tableColumn id="5" name="Llista UIAA"/>
    <tableColumn id="6" name="Tresmil català"/>
    <tableColumn id="7" name="Assolit"/>
    <tableColumn id="8" name="Data"/>
    <tableColumn id="9" name="Punt(s) al meu KMZ"/>
    <tableColumn id="10" name="Ascensions"/>
    <tableColumn id="11" name="Dates de les ascensions"/>
  </tableColumns>
  <tableStyleInfo name="TableStyleLight1" showRowStripes="1" showColumnStripes="0"/>
</table>
</file>

<file path=xl/tables/table4.xml><?xml version="1.0" encoding="utf-8"?>
<table xmlns="http://schemas.openxmlformats.org/spreadsheetml/2006/main" id="4" name="Tresmils_Catalunya" displayName="Tresmils_Catalunya" ref="A4:H20" headerRowCount="1">
  <autoFilter ref="A4:H20"/>
  <tableColumns count="8">
    <tableColumn id="1" name="Cim"/>
    <tableColumn id="2" name="Altitud ICGC (m)"/>
    <tableColumn id="3" name="Zona"/>
    <tableColumn id="4" name="Estat"/>
    <tableColumn id="5" name="Llista UIAA"/>
    <tableColumn id="6" name="Nom a «3000 Pirineu»"/>
    <tableColumn id="7" name="Assolit"/>
    <tableColumn id="8" name="Data"/>
  </tableColumns>
  <tableStyleInfo name="TableStyleLight1" showRowStripes="1" showColumnStripes="0"/>
</table>
</file>

<file path=xl/tables/table5.xml><?xml version="1.0" encoding="utf-8"?>
<table xmlns="http://schemas.openxmlformats.org/spreadsheetml/2006/main" id="5" name="Quatremils_Alps" displayName="Quatremils_Alps" ref="A4:M132" headerRowCount="1">
  <autoFilter ref="A4:M132"/>
  <tableColumns count="13">
    <tableColumn id="1" name="Nº UIAA"/>
    <tableColumn id="2" name="Cim"/>
    <tableColumn id="3" name="Altitud (m)"/>
    <tableColumn id="4" name="Massís"/>
    <tableColumn id="5" name="País"/>
    <tableColumn id="6" name="Llista UIAA"/>
    <tableColumn id="7" name="Assolit"/>
    <tableColumn id="8" name="Data"/>
    <tableColumn id="9" name="Ascensions"/>
    <tableColumn id="10" name="Dates de les ascensions"/>
    <tableColumn id="11" name="Latitud"/>
    <tableColumn id="12" name="Longitud"/>
    <tableColumn id="13" name="Mapa"/>
  </tableColumns>
  <tableStyleInfo name="TableStyleLight1" showRowStripes="1" showColumnStripes="0"/>
</table>
</file>

<file path=xl/tables/table6.xml><?xml version="1.0" encoding="utf-8"?>
<table xmlns="http://schemas.openxmlformats.org/spreadsheetml/2006/main" id="6" name="Sostres_comarcals" displayName="Sostres_comarcals" ref="A4:H47" headerRowCount="1">
  <autoFilter ref="A4:H47"/>
  <tableColumns count="8">
    <tableColumn id="1" name="Comarca"/>
    <tableColumn id="2" name="Cim"/>
    <tableColumn id="3" name="Altitud (m)"/>
    <tableColumn id="4" name="Serra / zona"/>
    <tableColumn id="5" name="A la llista 100 Cims"/>
    <tableColumn id="6" name="Nom a «100 Cims»"/>
    <tableColumn id="7" name="Assolit"/>
    <tableColumn id="8" name="Data"/>
  </tableColumns>
  <tableStyleInfo name="TableStyleLight1" showRowStripes="1" showColumnStripes="0"/>
</table>
</file>

<file path=xl/tables/table7.xml><?xml version="1.0" encoding="utf-8"?>
<table xmlns="http://schemas.openxmlformats.org/spreadsheetml/2006/main" id="7" name="Punts_KMZ" displayName="Punts_KMZ" ref="A4:N6" headerRowCount="1">
  <autoFilter ref="A4:N6"/>
  <tableColumns count="14">
    <tableColumn id="1" name="Grup (carpeta)"/>
    <tableColumn id="2" name="Nom"/>
    <tableColumn id="3" name="Altitud (m)"/>
    <tableColumn id="4" name="Data"/>
    <tableColumn id="5" name="Font altitud"/>
    <tableColumn id="6" name="Cim FEEC"/>
    <tableColumn id="7" name="Tipus FEEC"/>
    <tableColumn id="8" name="Comarca FEEC"/>
    <tableColumn id="9" name="Tresmil (llista 3000)"/>
    <tableColumn id="10" name="Llista UIAA"/>
    <tableColumn id="11" name="Tresmil català"/>
    <tableColumn id="12" name="Latitud"/>
    <tableColumn id="13" name="Longitud"/>
    <tableColumn id="14" name="Mapa"/>
  </tableColumns>
  <tableStyleInfo name="TableStyleLight1" showRowStripes="1" showColumnStripes="0"/>
</table>
</file>

<file path=xl/tables/table8.xml><?xml version="1.0" encoding="utf-8"?>
<table xmlns="http://schemas.openxmlformats.org/spreadsheetml/2006/main" id="8" name="Rutes" displayName="Rutes" ref="A4:K5" headerRowCount="1">
  <autoFilter ref="A4:K5"/>
  <tableColumns count="11">
    <tableColumn id="1" name="Ruta"/>
    <tableColumn id="2" name="Etapa / track"/>
    <tableColumn id="3" name="Any"/>
    <tableColumn id="4" name="Data inici"/>
    <tableColumn id="5" name="Distància (km)"/>
    <tableColumn id="6" name="Desnivell + (m)"/>
    <tableColumn id="7" name="Desnivell − (m)"/>
    <tableColumn id="8" name="Alt. màx. (m)"/>
    <tableColumn id="9" name="Alt. mín. (m)"/>
    <tableColumn id="10" name="Durada (h)"/>
    <tableColumn id="11" name="Inici (mapa)"/>
  </tableColumns>
  <tableStyleInfo name="TableStyleLight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feec.cat/activitats/100-cims/cim/montagut-dancosa/" TargetMode="External" Id="rId1"/><Relationship Type="http://schemas.openxmlformats.org/officeDocument/2006/relationships/hyperlink" Target="https://www.google.com/maps/search/?api=1&amp;query=41.406880,1.422260" TargetMode="External" Id="rId2"/><Relationship Type="http://schemas.openxmlformats.org/officeDocument/2006/relationships/hyperlink" Target="https://www.feec.cat/activitats/100-cims/cim/el-cogullo-de-cabra/" TargetMode="External" Id="rId3"/><Relationship Type="http://schemas.openxmlformats.org/officeDocument/2006/relationships/hyperlink" Target="https://www.google.com/maps/search/?api=1&amp;query=41.429040,1.305760" TargetMode="External" Id="rId4"/><Relationship Type="http://schemas.openxmlformats.org/officeDocument/2006/relationships/hyperlink" Target="https://www.feec.cat/activitats/100-cims/cim/el-tossal-gros/" TargetMode="External" Id="rId5"/><Relationship Type="http://schemas.openxmlformats.org/officeDocument/2006/relationships/hyperlink" Target="https://www.google.com/maps/search/?api=1&amp;query=41.375360,1.239390" TargetMode="External" Id="rId6"/><Relationship Type="http://schemas.openxmlformats.org/officeDocument/2006/relationships/hyperlink" Target="https://www.feec.cat/activitats/100-cims/cim/la-cogulla/" TargetMode="External" Id="rId7"/><Relationship Type="http://schemas.openxmlformats.org/officeDocument/2006/relationships/hyperlink" Target="https://www.google.com/maps/search/?api=1&amp;query=41.348800,1.224830" TargetMode="External" Id="rId8"/><Relationship Type="http://schemas.openxmlformats.org/officeDocument/2006/relationships/hyperlink" Target="https://www.feec.cat/activitats/100-cims/cim/puigcabrer/" TargetMode="External" Id="rId9"/><Relationship Type="http://schemas.openxmlformats.org/officeDocument/2006/relationships/hyperlink" Target="https://www.google.com/maps/search/?api=1&amp;query=41.315330,1.191290" TargetMode="External" Id="rId10"/><Relationship Type="http://schemas.openxmlformats.org/officeDocument/2006/relationships/hyperlink" Target="https://www.feec.cat/activitats/100-cims/cim/tossa-grossa-de-montferri/" TargetMode="External" Id="rId11"/><Relationship Type="http://schemas.openxmlformats.org/officeDocument/2006/relationships/hyperlink" Target="https://www.google.com/maps/search/?api=1&amp;query=41.253450,1.370480" TargetMode="External" Id="rId12"/><Relationship Type="http://schemas.openxmlformats.org/officeDocument/2006/relationships/hyperlink" Target="https://www.feec.cat/activitats/100-cims/cim/roc-del-comptador/" TargetMode="External" Id="rId13"/><Relationship Type="http://schemas.openxmlformats.org/officeDocument/2006/relationships/hyperlink" Target="https://www.google.com/maps/search/?api=1&amp;query=42.422790,2.727290" TargetMode="External" Id="rId14"/><Relationship Type="http://schemas.openxmlformats.org/officeDocument/2006/relationships/hyperlink" Target="https://www.feec.cat/activitats/100-cims/cim/puig-de-les-bruixes/" TargetMode="External" Id="rId15"/><Relationship Type="http://schemas.openxmlformats.org/officeDocument/2006/relationships/hyperlink" Target="https://www.google.com/maps/search/?api=1&amp;query=42.324490,2.555500" TargetMode="External" Id="rId16"/><Relationship Type="http://schemas.openxmlformats.org/officeDocument/2006/relationships/hyperlink" Target="https://www.feec.cat/activitats/100-cims/cim/bassegoda/" TargetMode="External" Id="rId17"/><Relationship Type="http://schemas.openxmlformats.org/officeDocument/2006/relationships/hyperlink" Target="https://www.google.com/maps/search/?api=1&amp;query=42.312800,2.630730" TargetMode="External" Id="rId18"/><Relationship Type="http://schemas.openxmlformats.org/officeDocument/2006/relationships/hyperlink" Target="https://www.feec.cat/activitats/100-cims/cim/puig-neulos/" TargetMode="External" Id="rId19"/><Relationship Type="http://schemas.openxmlformats.org/officeDocument/2006/relationships/hyperlink" Target="https://www.google.com/maps/search/?api=1&amp;query=42.482100,2.947110" TargetMode="External" Id="rId20"/><Relationship Type="http://schemas.openxmlformats.org/officeDocument/2006/relationships/hyperlink" Target="https://www.feec.cat/activitats/100-cims/cim/el-mont/" TargetMode="External" Id="rId21"/><Relationship Type="http://schemas.openxmlformats.org/officeDocument/2006/relationships/hyperlink" Target="https://www.google.com/maps/search/?api=1&amp;query=42.258850,2.706300" TargetMode="External" Id="rId22"/><Relationship Type="http://schemas.openxmlformats.org/officeDocument/2006/relationships/hyperlink" Target="https://www.feec.cat/activitats/100-cims/cim/puig-falco/" TargetMode="External" Id="rId23"/><Relationship Type="http://schemas.openxmlformats.org/officeDocument/2006/relationships/hyperlink" Target="https://www.google.com/maps/search/?api=1&amp;query=42.375290,2.667090" TargetMode="External" Id="rId24"/><Relationship Type="http://schemas.openxmlformats.org/officeDocument/2006/relationships/hyperlink" Target="https://www.feec.cat/activitats/100-cims/cim/tossa-despinau/" TargetMode="External" Id="rId25"/><Relationship Type="http://schemas.openxmlformats.org/officeDocument/2006/relationships/hyperlink" Target="https://www.google.com/maps/search/?api=1&amp;query=42.273430,2.692850" TargetMode="External" Id="rId26"/><Relationship Type="http://schemas.openxmlformats.org/officeDocument/2006/relationships/hyperlink" Target="https://www.feec.cat/activitats/100-cims/cim/puig-de-la-gavarra/" TargetMode="External" Id="rId27"/><Relationship Type="http://schemas.openxmlformats.org/officeDocument/2006/relationships/hyperlink" Target="https://www.google.com/maps/search/?api=1&amp;query=42.360730,2.696850" TargetMode="External" Id="rId28"/><Relationship Type="http://schemas.openxmlformats.org/officeDocument/2006/relationships/hyperlink" Target="https://www.feec.cat/activitats/100-cims/cim/pic-de-sallafort/" TargetMode="External" Id="rId29"/><Relationship Type="http://schemas.openxmlformats.org/officeDocument/2006/relationships/hyperlink" Target="https://www.google.com/maps/search/?api=1&amp;query=42.473470,3.038040" TargetMode="External" Id="rId30"/><Relationship Type="http://schemas.openxmlformats.org/officeDocument/2006/relationships/hyperlink" Target="https://www.feec.cat/activitats/100-cims/cim/puig-dels-pruners/" TargetMode="External" Id="rId31"/><Relationship Type="http://schemas.openxmlformats.org/officeDocument/2006/relationships/hyperlink" Target="https://www.google.com/maps/search/?api=1&amp;query=42.428000,2.802940" TargetMode="External" Id="rId32"/><Relationship Type="http://schemas.openxmlformats.org/officeDocument/2006/relationships/hyperlink" Target="https://www.feec.cat/activitats/100-cims/cim/puig-den-jorda/" TargetMode="External" Id="rId33"/><Relationship Type="http://schemas.openxmlformats.org/officeDocument/2006/relationships/hyperlink" Target="https://www.google.com/maps/search/?api=1&amp;query=42.427760,3.082050" TargetMode="External" Id="rId34"/><Relationship Type="http://schemas.openxmlformats.org/officeDocument/2006/relationships/hyperlink" Target="https://www.feec.cat/activitats/100-cims/cim/castell-saverdera/" TargetMode="External" Id="rId35"/><Relationship Type="http://schemas.openxmlformats.org/officeDocument/2006/relationships/hyperlink" Target="https://www.google.com/maps/search/?api=1&amp;query=42.319970,3.167820" TargetMode="External" Id="rId36"/><Relationship Type="http://schemas.openxmlformats.org/officeDocument/2006/relationships/hyperlink" Target="https://www.feec.cat/activitats/100-cims/cim/querroig/" TargetMode="External" Id="rId37"/><Relationship Type="http://schemas.openxmlformats.org/officeDocument/2006/relationships/hyperlink" Target="https://www.google.com/maps/search/?api=1&amp;query=42.438260,3.120930" TargetMode="External" Id="rId38"/><Relationship Type="http://schemas.openxmlformats.org/officeDocument/2006/relationships/hyperlink" Target="https://www.feec.cat/activitats/100-cims/cim/puig-desquers/" TargetMode="External" Id="rId39"/><Relationship Type="http://schemas.openxmlformats.org/officeDocument/2006/relationships/hyperlink" Target="https://www.google.com/maps/search/?api=1&amp;query=42.392680,3.096360" TargetMode="External" Id="rId40"/><Relationship Type="http://schemas.openxmlformats.org/officeDocument/2006/relationships/hyperlink" Target="https://www.feec.cat/activitats/100-cims/cim/santa-magdalena/" TargetMode="External" Id="rId41"/><Relationship Type="http://schemas.openxmlformats.org/officeDocument/2006/relationships/hyperlink" Target="https://www.google.com/maps/search/?api=1&amp;query=42.324550,2.825790" TargetMode="External" Id="rId42"/><Relationship Type="http://schemas.openxmlformats.org/officeDocument/2006/relationships/hyperlink" Target="https://www.feec.cat/activitats/100-cims/cim/puig-de-laliga-cap-de-creus/" TargetMode="External" Id="rId43"/><Relationship Type="http://schemas.openxmlformats.org/officeDocument/2006/relationships/hyperlink" Target="https://www.google.com/maps/search/?api=1&amp;query=42.280510,3.204970" TargetMode="External" Id="rId44"/><Relationship Type="http://schemas.openxmlformats.org/officeDocument/2006/relationships/hyperlink" Target="https://www.feec.cat/activitats/100-cims/cim/puig-dels-bufadors/" TargetMode="External" Id="rId45"/><Relationship Type="http://schemas.openxmlformats.org/officeDocument/2006/relationships/hyperlink" Target="https://www.google.com/maps/search/?api=1&amp;query=42.301070,3.248750" TargetMode="External" Id="rId46"/><Relationship Type="http://schemas.openxmlformats.org/officeDocument/2006/relationships/hyperlink" Target="https://www.feec.cat/activitats/100-cims/cim/puig-de-cervera/" TargetMode="External" Id="rId47"/><Relationship Type="http://schemas.openxmlformats.org/officeDocument/2006/relationships/hyperlink" Target="https://www.google.com/maps/search/?api=1&amp;query=42.435220,3.170750" TargetMode="External" Id="rId48"/><Relationship Type="http://schemas.openxmlformats.org/officeDocument/2006/relationships/hyperlink" Target="https://www.feec.cat/activitats/100-cims/cim/puig-segalar/" TargetMode="External" Id="rId49"/><Relationship Type="http://schemas.openxmlformats.org/officeDocument/2006/relationships/hyperlink" Target="https://www.google.com/maps/search/?api=1&amp;query=42.112440,3.049930" TargetMode="External" Id="rId50"/><Relationship Type="http://schemas.openxmlformats.org/officeDocument/2006/relationships/hyperlink" Target="https://www.feec.cat/activitats/100-cims/cim/clapi-vell/" TargetMode="External" Id="rId51"/><Relationship Type="http://schemas.openxmlformats.org/officeDocument/2006/relationships/hyperlink" Target="https://www.google.com/maps/search/?api=1&amp;query=41.388050,1.542630" TargetMode="External" Id="rId52"/><Relationship Type="http://schemas.openxmlformats.org/officeDocument/2006/relationships/hyperlink" Target="https://www.feec.cat/activitats/100-cims/cim/montau/" TargetMode="External" Id="rId53"/><Relationship Type="http://schemas.openxmlformats.org/officeDocument/2006/relationships/hyperlink" Target="https://www.google.com/maps/search/?api=1&amp;query=41.345860,1.885000" TargetMode="External" Id="rId54"/><Relationship Type="http://schemas.openxmlformats.org/officeDocument/2006/relationships/hyperlink" Target="https://www.feec.cat/activitats/100-cims/cim/puig-dagulles/" TargetMode="External" Id="rId55"/><Relationship Type="http://schemas.openxmlformats.org/officeDocument/2006/relationships/hyperlink" Target="https://www.google.com/maps/search/?api=1&amp;query=41.408080,1.884980" TargetMode="External" Id="rId56"/><Relationship Type="http://schemas.openxmlformats.org/officeDocument/2006/relationships/hyperlink" Target="https://www.feec.cat/activitats/100-cims/cim/puig-de-la-mola/" TargetMode="External" Id="rId57"/><Relationship Type="http://schemas.openxmlformats.org/officeDocument/2006/relationships/hyperlink" Target="https://www.google.com/maps/search/?api=1&amp;query=41.319320,1.847850" TargetMode="External" Id="rId58"/><Relationship Type="http://schemas.openxmlformats.org/officeDocument/2006/relationships/hyperlink" Target="https://www.feec.cat/activitats/100-cims/cim/el-castellot/" TargetMode="External" Id="rId59"/><Relationship Type="http://schemas.openxmlformats.org/officeDocument/2006/relationships/hyperlink" Target="https://www.google.com/maps/search/?api=1&amp;query=41.337590,1.578630" TargetMode="External" Id="rId60"/><Relationship Type="http://schemas.openxmlformats.org/officeDocument/2006/relationships/hyperlink" Target="https://www.feec.cat/activitats/100-cims/cim/puig-de-laliga/" TargetMode="External" Id="rId61"/><Relationship Type="http://schemas.openxmlformats.org/officeDocument/2006/relationships/hyperlink" Target="https://www.google.com/maps/search/?api=1&amp;query=41.283870,1.697380" TargetMode="External" Id="rId62"/><Relationship Type="http://schemas.openxmlformats.org/officeDocument/2006/relationships/hyperlink" Target="https://www.feec.cat/activitats/100-cims/cim/penya-del-papiol/" TargetMode="External" Id="rId63"/><Relationship Type="http://schemas.openxmlformats.org/officeDocument/2006/relationships/hyperlink" Target="https://www.google.com/maps/search/?api=1&amp;query=41.322950,1.743850" TargetMode="External" Id="rId64"/><Relationship Type="http://schemas.openxmlformats.org/officeDocument/2006/relationships/hyperlink" Target="https://www.feec.cat/activitats/100-cims/cim/pic-de-saloria/" TargetMode="External" Id="rId65"/><Relationship Type="http://schemas.openxmlformats.org/officeDocument/2006/relationships/hyperlink" Target="https://www.google.com/maps/search/?api=1&amp;query=42.514450,1.385140" TargetMode="External" Id="rId66"/><Relationship Type="http://schemas.openxmlformats.org/officeDocument/2006/relationships/hyperlink" Target="https://www.feec.cat/activitats/100-cims/cim/monturull/" TargetMode="External" Id="rId67"/><Relationship Type="http://schemas.openxmlformats.org/officeDocument/2006/relationships/hyperlink" Target="https://www.google.com/maps/search/?api=1&amp;query=42.449950,1.581000" TargetMode="External" Id="rId68"/><Relationship Type="http://schemas.openxmlformats.org/officeDocument/2006/relationships/hyperlink" Target="https://www.feec.cat/activitats/100-cims/cim/vulturo/" TargetMode="External" Id="rId69"/><Relationship Type="http://schemas.openxmlformats.org/officeDocument/2006/relationships/hyperlink" Target="https://www.google.com/maps/search/?api=1&amp;query=42.285780,1.636430" TargetMode="External" Id="rId70"/><Relationship Type="http://schemas.openxmlformats.org/officeDocument/2006/relationships/hyperlink" Target="https://www.feec.cat/activitats/100-cims/cim/pic-de-costa-cabirolera/" TargetMode="External" Id="rId71"/><Relationship Type="http://schemas.openxmlformats.org/officeDocument/2006/relationships/hyperlink" Target="https://www.google.com/maps/search/?api=1&amp;query=42.281460,1.670420" TargetMode="External" Id="rId72"/><Relationship Type="http://schemas.openxmlformats.org/officeDocument/2006/relationships/hyperlink" Target="https://www.feec.cat/activitats/100-cims/cim/torreta-del-cadi/" TargetMode="External" Id="rId73"/><Relationship Type="http://schemas.openxmlformats.org/officeDocument/2006/relationships/hyperlink" Target="https://www.google.com/maps/search/?api=1&amp;query=42.287070,1.584200" TargetMode="External" Id="rId74"/><Relationship Type="http://schemas.openxmlformats.org/officeDocument/2006/relationships/hyperlink" Target="https://www.feec.cat/activitats/100-cims/cim/turo-punco/" TargetMode="External" Id="rId75"/><Relationship Type="http://schemas.openxmlformats.org/officeDocument/2006/relationships/hyperlink" Target="https://www.google.com/maps/search/?api=1&amp;query=42.424550,1.600990" TargetMode="External" Id="rId76"/><Relationship Type="http://schemas.openxmlformats.org/officeDocument/2006/relationships/hyperlink" Target="https://www.feec.cat/activitats/100-cims/cim/bony-de-la-pica-o-pica-dos/" TargetMode="External" Id="rId77"/><Relationship Type="http://schemas.openxmlformats.org/officeDocument/2006/relationships/hyperlink" Target="https://www.google.com/maps/search/?api=1&amp;query=42.504800,1.460400" TargetMode="External" Id="rId78"/><Relationship Type="http://schemas.openxmlformats.org/officeDocument/2006/relationships/hyperlink" Target="https://www.feec.cat/activitats/100-cims/cim/pedro-dels-quatre-batlles/" TargetMode="External" Id="rId79"/><Relationship Type="http://schemas.openxmlformats.org/officeDocument/2006/relationships/hyperlink" Target="https://www.google.com/maps/search/?api=1&amp;query=42.184800,1.520910" TargetMode="External" Id="rId80"/><Relationship Type="http://schemas.openxmlformats.org/officeDocument/2006/relationships/hyperlink" Target="https://www.feec.cat/activitats/100-cims/cim/cap-del-verd/" TargetMode="External" Id="rId81"/><Relationship Type="http://schemas.openxmlformats.org/officeDocument/2006/relationships/hyperlink" Target="https://www.google.com/maps/search/?api=1&amp;query=42.200810,1.613710" TargetMode="External" Id="rId82"/><Relationship Type="http://schemas.openxmlformats.org/officeDocument/2006/relationships/hyperlink" Target="https://www.feec.cat/activitats/100-cims/cim/mirador-del-pla-de-llet/" TargetMode="External" Id="rId83"/><Relationship Type="http://schemas.openxmlformats.org/officeDocument/2006/relationships/hyperlink" Target="https://www.google.com/maps/search/?api=1&amp;query=42.404550,1.632950" TargetMode="External" Id="rId84"/><Relationship Type="http://schemas.openxmlformats.org/officeDocument/2006/relationships/hyperlink" Target="https://www.feec.cat/activitats/100-cims/cim/el-cadinell/" TargetMode="External" Id="rId85"/><Relationship Type="http://schemas.openxmlformats.org/officeDocument/2006/relationships/hyperlink" Target="https://www.google.com/maps/search/?api=1&amp;query=42.264390,1.597820" TargetMode="External" Id="rId86"/><Relationship Type="http://schemas.openxmlformats.org/officeDocument/2006/relationships/hyperlink" Target="https://www.feec.cat/activitats/100-cims/cim/roc-roi/" TargetMode="External" Id="rId87"/><Relationship Type="http://schemas.openxmlformats.org/officeDocument/2006/relationships/hyperlink" Target="https://www.google.com/maps/search/?api=1&amp;query=42.435350,1.338290" TargetMode="External" Id="rId88"/><Relationship Type="http://schemas.openxmlformats.org/officeDocument/2006/relationships/hyperlink" Target="https://www.feec.cat/activitats/100-cims/cim/les-piques/" TargetMode="External" Id="rId89"/><Relationship Type="http://schemas.openxmlformats.org/officeDocument/2006/relationships/hyperlink" Target="https://www.google.com/maps/search/?api=1&amp;query=42.320970,1.175850" TargetMode="External" Id="rId90"/><Relationship Type="http://schemas.openxmlformats.org/officeDocument/2006/relationships/hyperlink" Target="https://www.feec.cat/activitats/100-cims/cim/roca-de-migdia-serra-del-verd/" TargetMode="External" Id="rId91"/><Relationship Type="http://schemas.openxmlformats.org/officeDocument/2006/relationships/hyperlink" Target="https://www.google.com/maps/search/?api=1&amp;query=42.207930,1.568140" TargetMode="External" Id="rId92"/><Relationship Type="http://schemas.openxmlformats.org/officeDocument/2006/relationships/hyperlink" Target="https://www.feec.cat/activitats/100-cims/cim/cap-de-pla-redon/" TargetMode="External" Id="rId93"/><Relationship Type="http://schemas.openxmlformats.org/officeDocument/2006/relationships/hyperlink" Target="https://www.google.com/maps/search/?api=1&amp;query=42.275530,1.267020" TargetMode="External" Id="rId94"/><Relationship Type="http://schemas.openxmlformats.org/officeDocument/2006/relationships/hyperlink" Target="https://www.feec.cat/activitats/100-cims/cim/tossal-de-bades/" TargetMode="External" Id="rId95"/><Relationship Type="http://schemas.openxmlformats.org/officeDocument/2006/relationships/hyperlink" Target="https://www.google.com/maps/search/?api=1&amp;query=42.323750,1.624990" TargetMode="External" Id="rId96"/><Relationship Type="http://schemas.openxmlformats.org/officeDocument/2006/relationships/hyperlink" Target="https://www.feec.cat/activitats/100-cims/cim/loratori/" TargetMode="External" Id="rId97"/><Relationship Type="http://schemas.openxmlformats.org/officeDocument/2006/relationships/hyperlink" Target="https://www.google.com/maps/search/?api=1&amp;query=42.201370,1.218320" TargetMode="External" Id="rId98"/><Relationship Type="http://schemas.openxmlformats.org/officeDocument/2006/relationships/hyperlink" Target="https://www.feec.cat/activitats/100-cims/cim/roc-beneidor/" TargetMode="External" Id="rId99"/><Relationship Type="http://schemas.openxmlformats.org/officeDocument/2006/relationships/hyperlink" Target="https://www.google.com/maps/search/?api=1&amp;query=42.371220,1.560500" TargetMode="External" Id="rId100"/><Relationship Type="http://schemas.openxmlformats.org/officeDocument/2006/relationships/hyperlink" Target="https://www.feec.cat/activitats/100-cims/cim/tossal-de-lleto/" TargetMode="External" Id="rId101"/><Relationship Type="http://schemas.openxmlformats.org/officeDocument/2006/relationships/hyperlink" Target="https://www.google.com/maps/search/?api=1&amp;query=42.311770,1.543000" TargetMode="External" Id="rId102"/><Relationship Type="http://schemas.openxmlformats.org/officeDocument/2006/relationships/hyperlink" Target="https://www.feec.cat/activitats/100-cims/cim/roc-de-galliner/" TargetMode="External" Id="rId103"/><Relationship Type="http://schemas.openxmlformats.org/officeDocument/2006/relationships/hyperlink" Target="https://www.google.com/maps/search/?api=1&amp;query=42.198070,1.410960" TargetMode="External" Id="rId104"/><Relationship Type="http://schemas.openxmlformats.org/officeDocument/2006/relationships/hyperlink" Target="https://www.feec.cat/activitats/100-cims/cim/cogullo-de-turp/" TargetMode="External" Id="rId105"/><Relationship Type="http://schemas.openxmlformats.org/officeDocument/2006/relationships/hyperlink" Target="https://www.google.com/maps/search/?api=1&amp;query=42.151150,1.347280" TargetMode="External" Id="rId106"/><Relationship Type="http://schemas.openxmlformats.org/officeDocument/2006/relationships/hyperlink" Target="https://www.feec.cat/activitats/100-cims/cim/el-coscollet/" TargetMode="External" Id="rId107"/><Relationship Type="http://schemas.openxmlformats.org/officeDocument/2006/relationships/hyperlink" Target="https://www.google.com/maps/search/?api=1&amp;query=42.114140,1.267510" TargetMode="External" Id="rId108"/><Relationship Type="http://schemas.openxmlformats.org/officeDocument/2006/relationships/hyperlink" Target="https://www.feec.cat/activitats/100-cims/cim/penya-aguda/" TargetMode="External" Id="rId109"/><Relationship Type="http://schemas.openxmlformats.org/officeDocument/2006/relationships/hyperlink" Target="https://www.google.com/maps/search/?api=1&amp;query=42.214530,1.267260" TargetMode="External" Id="rId110"/><Relationship Type="http://schemas.openxmlformats.org/officeDocument/2006/relationships/hyperlink" Target="https://www.feec.cat/activitats/100-cims/cim/sant-quiri/" TargetMode="External" Id="rId111"/><Relationship Type="http://schemas.openxmlformats.org/officeDocument/2006/relationships/hyperlink" Target="https://www.google.com/maps/search/?api=1&amp;query=42.305240,1.301320" TargetMode="External" Id="rId112"/><Relationship Type="http://schemas.openxmlformats.org/officeDocument/2006/relationships/hyperlink" Target="https://www.feec.cat/activitats/100-cims/cim/serrat-de-carrasquers/" TargetMode="External" Id="rId113"/><Relationship Type="http://schemas.openxmlformats.org/officeDocument/2006/relationships/hyperlink" Target="https://www.google.com/maps/search/?api=1&amp;query=42.132550,1.192700" TargetMode="External" Id="rId114"/><Relationship Type="http://schemas.openxmlformats.org/officeDocument/2006/relationships/hyperlink" Target="https://www.feec.cat/activitats/100-cims/cim/roca-del-coscollo/" TargetMode="External" Id="rId115"/><Relationship Type="http://schemas.openxmlformats.org/officeDocument/2006/relationships/hyperlink" Target="https://www.google.com/maps/search/?api=1&amp;query=42.127820,1.354350" TargetMode="External" Id="rId116"/><Relationship Type="http://schemas.openxmlformats.org/officeDocument/2006/relationships/hyperlink" Target="https://www.feec.cat/activitats/100-cims/cim/santa-fe/" TargetMode="External" Id="rId117"/><Relationship Type="http://schemas.openxmlformats.org/officeDocument/2006/relationships/hyperlink" Target="https://www.google.com/maps/search/?api=1&amp;query=42.209070,1.301150" TargetMode="External" Id="rId118"/><Relationship Type="http://schemas.openxmlformats.org/officeDocument/2006/relationships/hyperlink" Target="https://www.feec.cat/activitats/100-cims/cim/tossal-de-balinyo/" TargetMode="External" Id="rId119"/><Relationship Type="http://schemas.openxmlformats.org/officeDocument/2006/relationships/hyperlink" Target="https://www.google.com/maps/search/?api=1&amp;query=42.188400,1.343500" TargetMode="External" Id="rId120"/><Relationship Type="http://schemas.openxmlformats.org/officeDocument/2006/relationships/hyperlink" Target="https://www.feec.cat/activitats/100-cims/cim/sant-honorat/" TargetMode="External" Id="rId121"/><Relationship Type="http://schemas.openxmlformats.org/officeDocument/2006/relationships/hyperlink" Target="https://www.google.com/maps/search/?api=1&amp;query=42.083790,1.270380" TargetMode="External" Id="rId122"/><Relationship Type="http://schemas.openxmlformats.org/officeDocument/2006/relationships/hyperlink" Target="https://www.feec.cat/activitats/100-cims/cim/roc-de-cogul/" TargetMode="External" Id="rId123"/><Relationship Type="http://schemas.openxmlformats.org/officeDocument/2006/relationships/hyperlink" Target="https://www.google.com/maps/search/?api=1&amp;query=42.065290,1.265430" TargetMode="External" Id="rId124"/><Relationship Type="http://schemas.openxmlformats.org/officeDocument/2006/relationships/hyperlink" Target="https://www.feec.cat/activitats/100-cims/cim/roc-de-les-tres-creus/" TargetMode="External" Id="rId125"/><Relationship Type="http://schemas.openxmlformats.org/officeDocument/2006/relationships/hyperlink" Target="https://www.google.com/maps/search/?api=1&amp;query=42.091260,1.309480" TargetMode="External" Id="rId126"/><Relationship Type="http://schemas.openxmlformats.org/officeDocument/2006/relationships/hyperlink" Target="https://www.feec.cat/activitats/100-cims/cim/pic-de-comaloforno/" TargetMode="External" Id="rId127"/><Relationship Type="http://schemas.openxmlformats.org/officeDocument/2006/relationships/hyperlink" Target="https://www.google.com/maps/search/?api=1&amp;query=42.591380,0.827830" TargetMode="External" Id="rId128"/><Relationship Type="http://schemas.openxmlformats.org/officeDocument/2006/relationships/hyperlink" Target="https://www.feec.cat/activitats/100-cims/cim/besiberri-del-sud/" TargetMode="External" Id="rId129"/><Relationship Type="http://schemas.openxmlformats.org/officeDocument/2006/relationships/hyperlink" Target="https://www.google.com/maps/search/?api=1&amp;query=42.593790,0.826000" TargetMode="External" Id="rId130"/><Relationship Type="http://schemas.openxmlformats.org/officeDocument/2006/relationships/hyperlink" Target="https://www.feec.cat/activitats/100-cims/cim/punta-alta/" TargetMode="External" Id="rId131"/><Relationship Type="http://schemas.openxmlformats.org/officeDocument/2006/relationships/hyperlink" Target="https://www.google.com/maps/search/?api=1&amp;query=42.585700,0.880290" TargetMode="External" Id="rId132"/><Relationship Type="http://schemas.openxmlformats.org/officeDocument/2006/relationships/hyperlink" Target="https://www.feec.cat/activitats/100-cims/cim/besiberri-nord/" TargetMode="External" Id="rId133"/><Relationship Type="http://schemas.openxmlformats.org/officeDocument/2006/relationships/hyperlink" Target="https://www.google.com/maps/search/?api=1&amp;query=42.605260,0.826300" TargetMode="External" Id="rId134"/><Relationship Type="http://schemas.openxmlformats.org/officeDocument/2006/relationships/hyperlink" Target="https://www.feec.cat/activitats/100-cims/cim/pic-de-la-pala-alta-de-sarrade/" TargetMode="External" Id="rId135"/><Relationship Type="http://schemas.openxmlformats.org/officeDocument/2006/relationships/hyperlink" Target="https://www.google.com/maps/search/?api=1&amp;query=42.574710,0.890940" TargetMode="External" Id="rId136"/><Relationship Type="http://schemas.openxmlformats.org/officeDocument/2006/relationships/hyperlink" Target="https://www.feec.cat/activitats/100-cims/cim/pic-de-contraix/" TargetMode="External" Id="rId137"/><Relationship Type="http://schemas.openxmlformats.org/officeDocument/2006/relationships/hyperlink" Target="https://www.google.com/maps/search/?api=1&amp;query=42.585240,0.906930" TargetMode="External" Id="rId138"/><Relationship Type="http://schemas.openxmlformats.org/officeDocument/2006/relationships/hyperlink" Target="https://www.feec.cat/activitats/100-cims/cim/punta-senyalada/" TargetMode="External" Id="rId139"/><Relationship Type="http://schemas.openxmlformats.org/officeDocument/2006/relationships/hyperlink" Target="https://www.google.com/maps/search/?api=1&amp;query=42.591370,0.808480" TargetMode="External" Id="rId140"/><Relationship Type="http://schemas.openxmlformats.org/officeDocument/2006/relationships/hyperlink" Target="https://www.feec.cat/activitats/100-cims/cim/gran-tuc-de-colomers/" TargetMode="External" Id="rId141"/><Relationship Type="http://schemas.openxmlformats.org/officeDocument/2006/relationships/hyperlink" Target="https://www.google.com/maps/search/?api=1&amp;query=42.589390,0.937810" TargetMode="External" Id="rId142"/><Relationship Type="http://schemas.openxmlformats.org/officeDocument/2006/relationships/hyperlink" Target="https://www.feec.cat/activitats/100-cims/cim/gran-pic-del-pesso/" TargetMode="External" Id="rId143"/><Relationship Type="http://schemas.openxmlformats.org/officeDocument/2006/relationships/hyperlink" Target="https://www.google.com/maps/search/?api=1&amp;query=42.509490,0.924100" TargetMode="External" Id="rId144"/><Relationship Type="http://schemas.openxmlformats.org/officeDocument/2006/relationships/hyperlink" Target="https://www.feec.cat/activitats/100-cims/cim/punta-dharle/" TargetMode="External" Id="rId145"/><Relationship Type="http://schemas.openxmlformats.org/officeDocument/2006/relationships/hyperlink" Target="https://www.google.com/maps/search/?api=1&amp;query=42.610400,0.842600" TargetMode="External" Id="rId146"/><Relationship Type="http://schemas.openxmlformats.org/officeDocument/2006/relationships/hyperlink" Target="https://www.feec.cat/activitats/100-cims/cim/pic-de-mariolo-pic-de-neriolo/" TargetMode="External" Id="rId147"/><Relationship Type="http://schemas.openxmlformats.org/officeDocument/2006/relationships/hyperlink" Target="https://www.google.com/maps/search/?api=1&amp;query=42.530730,0.957630" TargetMode="External" Id="rId148"/><Relationship Type="http://schemas.openxmlformats.org/officeDocument/2006/relationships/hyperlink" Target="https://www.feec.cat/activitats/100-cims/cim/tuc-des-carants/" TargetMode="External" Id="rId149"/><Relationship Type="http://schemas.openxmlformats.org/officeDocument/2006/relationships/hyperlink" Target="https://www.google.com/maps/search/?api=1&amp;query=42.514050,0.903330" TargetMode="External" Id="rId150"/><Relationship Type="http://schemas.openxmlformats.org/officeDocument/2006/relationships/hyperlink" Target="https://www.feec.cat/activitats/100-cims/cim/tuc-de-la-contesa/" TargetMode="External" Id="rId151"/><Relationship Type="http://schemas.openxmlformats.org/officeDocument/2006/relationships/hyperlink" Target="https://www.google.com/maps/search/?api=1&amp;query=42.615520,0.788590" TargetMode="External" Id="rId152"/><Relationship Type="http://schemas.openxmlformats.org/officeDocument/2006/relationships/hyperlink" Target="https://www.feec.cat/activitats/100-cims/cim/tuc-de-lluca/" TargetMode="External" Id="rId153"/><Relationship Type="http://schemas.openxmlformats.org/officeDocument/2006/relationships/hyperlink" Target="https://www.google.com/maps/search/?api=1&amp;query=42.610290,0.901180" TargetMode="External" Id="rId154"/><Relationship Type="http://schemas.openxmlformats.org/officeDocument/2006/relationships/hyperlink" Target="https://www.feec.cat/activitats/100-cims/cim/tuc-des-monges/" TargetMode="External" Id="rId155"/><Relationship Type="http://schemas.openxmlformats.org/officeDocument/2006/relationships/hyperlink" Target="https://www.google.com/maps/search/?api=1&amp;query=42.622390,0.866020" TargetMode="External" Id="rId156"/><Relationship Type="http://schemas.openxmlformats.org/officeDocument/2006/relationships/hyperlink" Target="https://www.feec.cat/activitats/100-cims/cim/tuc-de-ribereta/" TargetMode="External" Id="rId157"/><Relationship Type="http://schemas.openxmlformats.org/officeDocument/2006/relationships/hyperlink" Target="https://www.google.com/maps/search/?api=1&amp;query=42.626150,0.895240" TargetMode="External" Id="rId158"/><Relationship Type="http://schemas.openxmlformats.org/officeDocument/2006/relationships/hyperlink" Target="https://www.feec.cat/activitats/100-cims/cim/pic-roi/" TargetMode="External" Id="rId159"/><Relationship Type="http://schemas.openxmlformats.org/officeDocument/2006/relationships/hyperlink" Target="https://www.google.com/maps/search/?api=1&amp;query=42.565200,0.798190" TargetMode="External" Id="rId160"/><Relationship Type="http://schemas.openxmlformats.org/officeDocument/2006/relationships/hyperlink" Target="https://www.feec.cat/activitats/100-cims/cim/tuc-de-la-comamarja/" TargetMode="External" Id="rId161"/><Relationship Type="http://schemas.openxmlformats.org/officeDocument/2006/relationships/hyperlink" Target="https://www.google.com/maps/search/?api=1&amp;query=42.526430,0.878310" TargetMode="External" Id="rId162"/><Relationship Type="http://schemas.openxmlformats.org/officeDocument/2006/relationships/hyperlink" Target="https://www.feec.cat/activitats/100-cims/cim/lo-corrunco/" TargetMode="External" Id="rId163"/><Relationship Type="http://schemas.openxmlformats.org/officeDocument/2006/relationships/hyperlink" Target="https://www.google.com/maps/search/?api=1&amp;query=42.462120,0.828500" TargetMode="External" Id="rId164"/><Relationship Type="http://schemas.openxmlformats.org/officeDocument/2006/relationships/hyperlink" Target="https://www.feec.cat/activitats/100-cims/cim/laut/" TargetMode="External" Id="rId165"/><Relationship Type="http://schemas.openxmlformats.org/officeDocument/2006/relationships/hyperlink" Target="https://www.google.com/maps/search/?api=1&amp;query=42.541340,0.808760" TargetMode="External" Id="rId166"/><Relationship Type="http://schemas.openxmlformats.org/officeDocument/2006/relationships/hyperlink" Target="https://www.feec.cat/activitats/100-cims/cim/cap-de-gelada/" TargetMode="External" Id="rId167"/><Relationship Type="http://schemas.openxmlformats.org/officeDocument/2006/relationships/hyperlink" Target="https://www.google.com/maps/search/?api=1&amp;query=42.521550,0.765140" TargetMode="External" Id="rId168"/><Relationship Type="http://schemas.openxmlformats.org/officeDocument/2006/relationships/hyperlink" Target="https://www.feec.cat/activitats/100-cims/cim/tossal-de-les-roies-de-cardet/" TargetMode="External" Id="rId169"/><Relationship Type="http://schemas.openxmlformats.org/officeDocument/2006/relationships/hyperlink" Target="https://www.google.com/maps/search/?api=1&amp;query=42.518580,0.765370" TargetMode="External" Id="rId170"/><Relationship Type="http://schemas.openxmlformats.org/officeDocument/2006/relationships/hyperlink" Target="https://www.feec.cat/activitats/100-cims/cim/pala-del-teller/" TargetMode="External" Id="rId171"/><Relationship Type="http://schemas.openxmlformats.org/officeDocument/2006/relationships/hyperlink" Target="https://www.google.com/maps/search/?api=1&amp;query=42.316860,0.809480" TargetMode="External" Id="rId172"/><Relationship Type="http://schemas.openxmlformats.org/officeDocument/2006/relationships/hyperlink" Target="https://www.feec.cat/activitats/100-cims/cim/lavedoga-dadons/" TargetMode="External" Id="rId173"/><Relationship Type="http://schemas.openxmlformats.org/officeDocument/2006/relationships/hyperlink" Target="https://www.google.com/maps/search/?api=1&amp;query=42.314120,0.838200" TargetMode="External" Id="rId174"/><Relationship Type="http://schemas.openxmlformats.org/officeDocument/2006/relationships/hyperlink" Target="https://www.feec.cat/activitats/100-cims/cim/la-faiada/" TargetMode="External" Id="rId175"/><Relationship Type="http://schemas.openxmlformats.org/officeDocument/2006/relationships/hyperlink" Target="https://www.google.com/maps/search/?api=1&amp;query=42.375040,0.775130" TargetMode="External" Id="rId176"/><Relationship Type="http://schemas.openxmlformats.org/officeDocument/2006/relationships/hyperlink" Target="https://www.feec.cat/activitats/100-cims/cim/tossal-gros-serra-de-sant-gervas/" TargetMode="External" Id="rId177"/><Relationship Type="http://schemas.openxmlformats.org/officeDocument/2006/relationships/hyperlink" Target="https://www.google.com/maps/search/?api=1&amp;query=42.333080,0.771100" TargetMode="External" Id="rId178"/><Relationship Type="http://schemas.openxmlformats.org/officeDocument/2006/relationships/hyperlink" Target="https://www.feec.cat/activitats/100-cims/cim/comapedrosa/" TargetMode="External" Id="rId179"/><Relationship Type="http://schemas.openxmlformats.org/officeDocument/2006/relationships/hyperlink" Target="https://www.google.com/maps/search/?api=1&amp;query=42.591810,1.443650" TargetMode="External" Id="rId180"/><Relationship Type="http://schemas.openxmlformats.org/officeDocument/2006/relationships/hyperlink" Target="https://www.feec.cat/activitats/100-cims/cim/roca-entravessada/" TargetMode="External" Id="rId181"/><Relationship Type="http://schemas.openxmlformats.org/officeDocument/2006/relationships/hyperlink" Target="https://www.google.com/maps/search/?api=1&amp;query=42.598400,1.442190" TargetMode="External" Id="rId182"/><Relationship Type="http://schemas.openxmlformats.org/officeDocument/2006/relationships/hyperlink" Target="https://www.feec.cat/activitats/100-cims/cim/pic-de-lestanyo/" TargetMode="External" Id="rId183"/><Relationship Type="http://schemas.openxmlformats.org/officeDocument/2006/relationships/hyperlink" Target="https://www.google.com/maps/search/?api=1&amp;query=42.608700,1.592580" TargetMode="External" Id="rId184"/><Relationship Type="http://schemas.openxmlformats.org/officeDocument/2006/relationships/hyperlink" Target="https://www.feec.cat/activitats/100-cims/cim/pic-de-medacorba/" TargetMode="External" Id="rId185"/><Relationship Type="http://schemas.openxmlformats.org/officeDocument/2006/relationships/hyperlink" Target="https://www.google.com/maps/search/?api=1&amp;query=42.603720,1.441990" TargetMode="External" Id="rId186"/><Relationship Type="http://schemas.openxmlformats.org/officeDocument/2006/relationships/hyperlink" Target="https://www.feec.cat/activitats/100-cims/cim/pic-de-la-serrera/" TargetMode="External" Id="rId187"/><Relationship Type="http://schemas.openxmlformats.org/officeDocument/2006/relationships/hyperlink" Target="https://www.google.com/maps/search/?api=1&amp;query=42.625540,1.602510" TargetMode="External" Id="rId188"/><Relationship Type="http://schemas.openxmlformats.org/officeDocument/2006/relationships/hyperlink" Target="https://www.feec.cat/activitats/100-cims/cim/tossa-plana-de-lles-pic-de-la-portelleta/" TargetMode="External" Id="rId189"/><Relationship Type="http://schemas.openxmlformats.org/officeDocument/2006/relationships/hyperlink" Target="https://www.google.com/maps/search/?api=1&amp;query=42.468210,1.656560" TargetMode="External" Id="rId190"/><Relationship Type="http://schemas.openxmlformats.org/officeDocument/2006/relationships/hyperlink" Target="https://www.feec.cat/activitats/100-cims/cim/pic-de-font-blanca/" TargetMode="External" Id="rId191"/><Relationship Type="http://schemas.openxmlformats.org/officeDocument/2006/relationships/hyperlink" Target="https://www.google.com/maps/search/?api=1&amp;query=42.649720,1.534400" TargetMode="External" Id="rId192"/><Relationship Type="http://schemas.openxmlformats.org/officeDocument/2006/relationships/hyperlink" Target="https://www.feec.cat/activitats/100-cims/cim/pic-de-sanfonts/" TargetMode="External" Id="rId193"/><Relationship Type="http://schemas.openxmlformats.org/officeDocument/2006/relationships/hyperlink" Target="https://www.google.com/maps/search/?api=1&amp;query=42.587470,1.427660" TargetMode="External" Id="rId194"/><Relationship Type="http://schemas.openxmlformats.org/officeDocument/2006/relationships/hyperlink" Target="https://www.feec.cat/activitats/100-cims/cim/tristaina/" TargetMode="External" Id="rId195"/><Relationship Type="http://schemas.openxmlformats.org/officeDocument/2006/relationships/hyperlink" Target="https://www.google.com/maps/search/?api=1&amp;query=42.653420,1.493440" TargetMode="External" Id="rId196"/><Relationship Type="http://schemas.openxmlformats.org/officeDocument/2006/relationships/hyperlink" Target="https://www.feec.cat/activitats/100-cims/cim/alt-del-griu/" TargetMode="External" Id="rId197"/><Relationship Type="http://schemas.openxmlformats.org/officeDocument/2006/relationships/hyperlink" Target="https://www.google.com/maps/search/?api=1&amp;query=42.525140,1.651240" TargetMode="External" Id="rId198"/><Relationship Type="http://schemas.openxmlformats.org/officeDocument/2006/relationships/hyperlink" Target="https://www.feec.cat/activitats/100-cims/cim/pic-dels-pessons-o-gargantillar/" TargetMode="External" Id="rId199"/><Relationship Type="http://schemas.openxmlformats.org/officeDocument/2006/relationships/hyperlink" Target="https://www.google.com/maps/search/?api=1&amp;query=42.508120,1.664670" TargetMode="External" Id="rId200"/><Relationship Type="http://schemas.openxmlformats.org/officeDocument/2006/relationships/hyperlink" Target="https://www.feec.cat/activitats/100-cims/cim/pic-del-pla-de-lestany/" TargetMode="External" Id="rId201"/><Relationship Type="http://schemas.openxmlformats.org/officeDocument/2006/relationships/hyperlink" Target="https://www.google.com/maps/search/?api=1&amp;query=42.606800,1.464030" TargetMode="External" Id="rId202"/><Relationship Type="http://schemas.openxmlformats.org/officeDocument/2006/relationships/hyperlink" Target="https://www.feec.cat/activitats/100-cims/cim/pic-alt-del-cubil/" TargetMode="External" Id="rId203"/><Relationship Type="http://schemas.openxmlformats.org/officeDocument/2006/relationships/hyperlink" Target="https://www.google.com/maps/search/?api=1&amp;query=42.527780,1.670180" TargetMode="External" Id="rId204"/><Relationship Type="http://schemas.openxmlformats.org/officeDocument/2006/relationships/hyperlink" Target="https://www.feec.cat/activitats/100-cims/cim/pic-negre-denvalira/" TargetMode="External" Id="rId205"/><Relationship Type="http://schemas.openxmlformats.org/officeDocument/2006/relationships/hyperlink" Target="https://www.google.com/maps/search/?api=1&amp;query=42.517250,1.721440" TargetMode="External" Id="rId206"/><Relationship Type="http://schemas.openxmlformats.org/officeDocument/2006/relationships/hyperlink" Target="https://www.feec.cat/activitats/100-cims/cim/roc-mele/" TargetMode="External" Id="rId207"/><Relationship Type="http://schemas.openxmlformats.org/officeDocument/2006/relationships/hyperlink" Target="https://www.google.com/maps/search/?api=1&amp;query=42.587790,1.741820" TargetMode="External" Id="rId208"/><Relationship Type="http://schemas.openxmlformats.org/officeDocument/2006/relationships/hyperlink" Target="https://www.feec.cat/activitats/100-cims/cim/pic-de-cataperdis/" TargetMode="External" Id="rId209"/><Relationship Type="http://schemas.openxmlformats.org/officeDocument/2006/relationships/hyperlink" Target="https://www.google.com/maps/search/?api=1&amp;query=42.614820,1.477430" TargetMode="External" Id="rId210"/><Relationship Type="http://schemas.openxmlformats.org/officeDocument/2006/relationships/hyperlink" Target="https://www.feec.cat/activitats/100-cims/cim/montmalus/" TargetMode="External" Id="rId211"/><Relationship Type="http://schemas.openxmlformats.org/officeDocument/2006/relationships/hyperlink" Target="https://www.google.com/maps/search/?api=1&amp;query=42.508930,1.686570" TargetMode="External" Id="rId212"/><Relationship Type="http://schemas.openxmlformats.org/officeDocument/2006/relationships/hyperlink" Target="https://www.feec.cat/activitats/100-cims/cim/pic-descobes/" TargetMode="External" Id="rId213"/><Relationship Type="http://schemas.openxmlformats.org/officeDocument/2006/relationships/hyperlink" Target="https://www.google.com/maps/search/?api=1&amp;query=42.609180,1.735630" TargetMode="External" Id="rId214"/><Relationship Type="http://schemas.openxmlformats.org/officeDocument/2006/relationships/hyperlink" Target="https://www.feec.cat/activitats/100-cims/cim/pic-de-la-coma-de-varilles/" TargetMode="External" Id="rId215"/><Relationship Type="http://schemas.openxmlformats.org/officeDocument/2006/relationships/hyperlink" Target="https://www.google.com/maps/search/?api=1&amp;query=42.619160,1.664300" TargetMode="External" Id="rId216"/><Relationship Type="http://schemas.openxmlformats.org/officeDocument/2006/relationships/hyperlink" Target="https://www.feec.cat/activitats/100-cims/cim/pic-de-perafita/" TargetMode="External" Id="rId217"/><Relationship Type="http://schemas.openxmlformats.org/officeDocument/2006/relationships/hyperlink" Target="https://www.google.com/maps/search/?api=1&amp;query=42.459200,1.585500" TargetMode="External" Id="rId218"/><Relationship Type="http://schemas.openxmlformats.org/officeDocument/2006/relationships/hyperlink" Target="https://www.feec.cat/activitats/100-cims/cim/casamanya-nord/" TargetMode="External" Id="rId219"/><Relationship Type="http://schemas.openxmlformats.org/officeDocument/2006/relationships/hyperlink" Target="https://www.google.com/maps/search/?api=1&amp;query=42.587340,1.570300" TargetMode="External" Id="rId220"/><Relationship Type="http://schemas.openxmlformats.org/officeDocument/2006/relationships/hyperlink" Target="https://www.feec.cat/activitats/100-cims/cim/pic-de-cabanyo/" TargetMode="External" Id="rId221"/><Relationship Type="http://schemas.openxmlformats.org/officeDocument/2006/relationships/hyperlink" Target="https://www.google.com/maps/search/?api=1&amp;query=42.630900,1.468020" TargetMode="External" Id="rId222"/><Relationship Type="http://schemas.openxmlformats.org/officeDocument/2006/relationships/hyperlink" Target="https://www.feec.cat/activitats/100-cims/cim/tosa-del-braibal/" TargetMode="External" Id="rId223"/><Relationship Type="http://schemas.openxmlformats.org/officeDocument/2006/relationships/hyperlink" Target="https://www.google.com/maps/search/?api=1&amp;query=42.502970,1.598500" TargetMode="External" Id="rId224"/><Relationship Type="http://schemas.openxmlformats.org/officeDocument/2006/relationships/hyperlink" Target="https://www.feec.cat/activitats/100-cims/cim/alt-de-juclar/" TargetMode="External" Id="rId225"/><Relationship Type="http://schemas.openxmlformats.org/officeDocument/2006/relationships/hyperlink" Target="https://www.google.com/maps/search/?api=1&amp;query=42.611700,1.709590" TargetMode="External" Id="rId226"/><Relationship Type="http://schemas.openxmlformats.org/officeDocument/2006/relationships/hyperlink" Target="https://www.feec.cat/activitats/100-cims/cim/alt-de-la-capa/" TargetMode="External" Id="rId227"/><Relationship Type="http://schemas.openxmlformats.org/officeDocument/2006/relationships/hyperlink" Target="https://www.google.com/maps/search/?api=1&amp;query=42.562970,1.454190" TargetMode="External" Id="rId228"/><Relationship Type="http://schemas.openxmlformats.org/officeDocument/2006/relationships/hyperlink" Target="https://www.feec.cat/activitats/100-cims/cim/sant-jeroni/" TargetMode="External" Id="rId229"/><Relationship Type="http://schemas.openxmlformats.org/officeDocument/2006/relationships/hyperlink" Target="https://www.google.com/maps/search/?api=1&amp;query=41.605380,1.811500" TargetMode="External" Id="rId230"/><Relationship Type="http://schemas.openxmlformats.org/officeDocument/2006/relationships/hyperlink" Target="https://www.feec.cat/activitats/100-cims/cim/miranda-dels-ecos/" TargetMode="External" Id="rId231"/><Relationship Type="http://schemas.openxmlformats.org/officeDocument/2006/relationships/hyperlink" Target="https://www.google.com/maps/search/?api=1&amp;query=41.604410,1.806210" TargetMode="External" Id="rId232"/><Relationship Type="http://schemas.openxmlformats.org/officeDocument/2006/relationships/hyperlink" Target="https://www.feec.cat/activitats/100-cims/cim/montgros/" TargetMode="External" Id="rId233"/><Relationship Type="http://schemas.openxmlformats.org/officeDocument/2006/relationships/hyperlink" Target="https://www.google.com/maps/search/?api=1&amp;query=41.599990,1.805090" TargetMode="External" Id="rId234"/><Relationship Type="http://schemas.openxmlformats.org/officeDocument/2006/relationships/hyperlink" Target="https://www.feec.cat/activitats/100-cims/cim/miranda-del-princep/" TargetMode="External" Id="rId235"/><Relationship Type="http://schemas.openxmlformats.org/officeDocument/2006/relationships/hyperlink" Target="https://www.google.com/maps/search/?api=1&amp;query=41.604900,1.792780" TargetMode="External" Id="rId236"/><Relationship Type="http://schemas.openxmlformats.org/officeDocument/2006/relationships/hyperlink" Target="https://www.feec.cat/activitats/100-cims/cim/puig-castellar-serra-dancosa/" TargetMode="External" Id="rId237"/><Relationship Type="http://schemas.openxmlformats.org/officeDocument/2006/relationships/hyperlink" Target="https://www.google.com/maps/search/?api=1&amp;query=41.448330,1.516480" TargetMode="External" Id="rId238"/><Relationship Type="http://schemas.openxmlformats.org/officeDocument/2006/relationships/hyperlink" Target="https://www.feec.cat/activitats/100-cims/cim/grony-de-miralles/" TargetMode="External" Id="rId239"/><Relationship Type="http://schemas.openxmlformats.org/officeDocument/2006/relationships/hyperlink" Target="https://www.google.com/maps/search/?api=1&amp;query=41.516700,1.492180" TargetMode="External" Id="rId240"/><Relationship Type="http://schemas.openxmlformats.org/officeDocument/2006/relationships/hyperlink" Target="https://www.feec.cat/activitats/100-cims/cim/castell-de-boixadors/" TargetMode="External" Id="rId241"/><Relationship Type="http://schemas.openxmlformats.org/officeDocument/2006/relationships/hyperlink" Target="https://www.google.com/maps/search/?api=1&amp;query=41.770640,1.574780" TargetMode="External" Id="rId242"/><Relationship Type="http://schemas.openxmlformats.org/officeDocument/2006/relationships/hyperlink" Target="https://www.feec.cat/activitats/100-cims/cim/torre-alta-castell-ferran/" TargetMode="External" Id="rId243"/><Relationship Type="http://schemas.openxmlformats.org/officeDocument/2006/relationships/hyperlink" Target="https://www.google.com/maps/search/?api=1&amp;query=41.611210,1.763280" TargetMode="External" Id="rId244"/><Relationship Type="http://schemas.openxmlformats.org/officeDocument/2006/relationships/hyperlink" Target="https://www.feec.cat/activitats/100-cims/cim/puig-de-sant-miquel/" TargetMode="External" Id="rId245"/><Relationship Type="http://schemas.openxmlformats.org/officeDocument/2006/relationships/hyperlink" Target="https://www.google.com/maps/search/?api=1&amp;query=41.637240,1.580980" TargetMode="External" Id="rId246"/><Relationship Type="http://schemas.openxmlformats.org/officeDocument/2006/relationships/hyperlink" Target="https://www.feec.cat/activitats/100-cims/cim/puig-daguilera/" TargetMode="External" Id="rId247"/><Relationship Type="http://schemas.openxmlformats.org/officeDocument/2006/relationships/hyperlink" Target="https://www.google.com/maps/search/?api=1&amp;query=41.604790,1.670810" TargetMode="External" Id="rId248"/><Relationship Type="http://schemas.openxmlformats.org/officeDocument/2006/relationships/hyperlink" Target="https://www.feec.cat/activitats/100-cims/cim/turo-de-can-dolcet/" TargetMode="External" Id="rId249"/><Relationship Type="http://schemas.openxmlformats.org/officeDocument/2006/relationships/hyperlink" Target="https://www.google.com/maps/search/?api=1&amp;query=41.555410,1.815800" TargetMode="External" Id="rId250"/><Relationship Type="http://schemas.openxmlformats.org/officeDocument/2006/relationships/hyperlink" Target="https://www.feec.cat/activitats/100-cims/cim/roca-de-sant-salvador-lelefant/" TargetMode="External" Id="rId251"/><Relationship Type="http://schemas.openxmlformats.org/officeDocument/2006/relationships/hyperlink" Target="https://www.google.com/maps/search/?api=1&amp;query=41.595780,1.829740" TargetMode="External" Id="rId252"/><Relationship Type="http://schemas.openxmlformats.org/officeDocument/2006/relationships/hyperlink" Target="https://www.feec.cat/activitats/100-cims/cim/montcau/" TargetMode="External" Id="rId253"/><Relationship Type="http://schemas.openxmlformats.org/officeDocument/2006/relationships/hyperlink" Target="https://www.google.com/maps/search/?api=1&amp;query=41.675040,2.004630" TargetMode="External" Id="rId254"/><Relationship Type="http://schemas.openxmlformats.org/officeDocument/2006/relationships/hyperlink" Target="https://www.feec.cat/activitats/100-cims/cim/turo-de-les-tres-creus/" TargetMode="External" Id="rId255"/><Relationship Type="http://schemas.openxmlformats.org/officeDocument/2006/relationships/hyperlink" Target="https://www.google.com/maps/search/?api=1&amp;query=41.649950,1.969700" TargetMode="External" Id="rId256"/><Relationship Type="http://schemas.openxmlformats.org/officeDocument/2006/relationships/hyperlink" Target="https://www.feec.cat/activitats/100-cims/cim/cogullo-de-cal-torre/" TargetMode="External" Id="rId257"/><Relationship Type="http://schemas.openxmlformats.org/officeDocument/2006/relationships/hyperlink" Target="https://www.google.com/maps/search/?api=1&amp;query=41.687470,1.686420" TargetMode="External" Id="rId258"/><Relationship Type="http://schemas.openxmlformats.org/officeDocument/2006/relationships/hyperlink" Target="https://www.feec.cat/activitats/100-cims/cim/roca-sareny/" TargetMode="External" Id="rId259"/><Relationship Type="http://schemas.openxmlformats.org/officeDocument/2006/relationships/hyperlink" Target="https://www.google.com/maps/search/?api=1&amp;query=41.694500,2.017890" TargetMode="External" Id="rId260"/><Relationship Type="http://schemas.openxmlformats.org/officeDocument/2006/relationships/hyperlink" Target="https://www.feec.cat/activitats/100-cims/cim/pujol-de-la-mata/" TargetMode="External" Id="rId261"/><Relationship Type="http://schemas.openxmlformats.org/officeDocument/2006/relationships/hyperlink" Target="https://www.google.com/maps/search/?api=1&amp;query=41.682150,1.984430" TargetMode="External" Id="rId262"/><Relationship Type="http://schemas.openxmlformats.org/officeDocument/2006/relationships/hyperlink" Target="https://www.feec.cat/activitats/100-cims/cim/turo-del-mal-pas/" TargetMode="External" Id="rId263"/><Relationship Type="http://schemas.openxmlformats.org/officeDocument/2006/relationships/hyperlink" Target="https://www.google.com/maps/search/?api=1&amp;query=41.671380,1.954690" TargetMode="External" Id="rId264"/><Relationship Type="http://schemas.openxmlformats.org/officeDocument/2006/relationships/hyperlink" Target="https://www.feec.cat/activitats/100-cims/cim/turo-de-la-torre-o-de-castellnou/" TargetMode="External" Id="rId265"/><Relationship Type="http://schemas.openxmlformats.org/officeDocument/2006/relationships/hyperlink" Target="https://www.google.com/maps/search/?api=1&amp;query=41.850920,1.830100" TargetMode="External" Id="rId266"/><Relationship Type="http://schemas.openxmlformats.org/officeDocument/2006/relationships/hyperlink" Target="https://www.feec.cat/activitats/100-cims/cim/el-garrofi/" TargetMode="External" Id="rId267"/><Relationship Type="http://schemas.openxmlformats.org/officeDocument/2006/relationships/hyperlink" Target="https://www.google.com/maps/search/?api=1&amp;query=41.861260,1.938720" TargetMode="External" Id="rId268"/><Relationship Type="http://schemas.openxmlformats.org/officeDocument/2006/relationships/hyperlink" Target="https://www.feec.cat/activitats/100-cims/cim/turo-de-lermita/" TargetMode="External" Id="rId269"/><Relationship Type="http://schemas.openxmlformats.org/officeDocument/2006/relationships/hyperlink" Target="https://www.google.com/maps/search/?api=1&amp;query=41.620260,1.815020" TargetMode="External" Id="rId270"/><Relationship Type="http://schemas.openxmlformats.org/officeDocument/2006/relationships/hyperlink" Target="https://www.feec.cat/activitats/100-cims/cim/collbaix/" TargetMode="External" Id="rId271"/><Relationship Type="http://schemas.openxmlformats.org/officeDocument/2006/relationships/hyperlink" Target="https://www.google.com/maps/search/?api=1&amp;query=41.740870,1.780970" TargetMode="External" Id="rId272"/><Relationship Type="http://schemas.openxmlformats.org/officeDocument/2006/relationships/hyperlink" Target="https://www.feec.cat/activitats/100-cims/cim/puigsoler/" TargetMode="External" Id="rId273"/><Relationship Type="http://schemas.openxmlformats.org/officeDocument/2006/relationships/hyperlink" Target="https://www.google.com/maps/search/?api=1&amp;query=41.667890,1.892860" TargetMode="External" Id="rId274"/><Relationship Type="http://schemas.openxmlformats.org/officeDocument/2006/relationships/hyperlink" Target="https://www.feec.cat/activitats/100-cims/cim/puig-alter/" TargetMode="External" Id="rId275"/><Relationship Type="http://schemas.openxmlformats.org/officeDocument/2006/relationships/hyperlink" Target="https://www.google.com/maps/search/?api=1&amp;query=41.813930,1.785540" TargetMode="External" Id="rId276"/><Relationship Type="http://schemas.openxmlformats.org/officeDocument/2006/relationships/hyperlink" Target="https://www.feec.cat/activitats/100-cims/cim/turo-de-lescletxa/" TargetMode="External" Id="rId277"/><Relationship Type="http://schemas.openxmlformats.org/officeDocument/2006/relationships/hyperlink" Target="https://www.google.com/maps/search/?api=1&amp;query=41.628710,1.886950" TargetMode="External" Id="rId278"/><Relationship Type="http://schemas.openxmlformats.org/officeDocument/2006/relationships/hyperlink" Target="https://www.feec.cat/activitats/100-cims/cim/tossal-de-la-baltasana/" TargetMode="External" Id="rId279"/><Relationship Type="http://schemas.openxmlformats.org/officeDocument/2006/relationships/hyperlink" Target="https://www.google.com/maps/search/?api=1&amp;query=41.326000,1.004190" TargetMode="External" Id="rId280"/><Relationship Type="http://schemas.openxmlformats.org/officeDocument/2006/relationships/hyperlink" Target="https://www.feec.cat/activitats/100-cims/cim/mola-destat/" TargetMode="External" Id="rId281"/><Relationship Type="http://schemas.openxmlformats.org/officeDocument/2006/relationships/hyperlink" Target="https://www.google.com/maps/search/?api=1&amp;query=41.325550,1.060580" TargetMode="External" Id="rId282"/><Relationship Type="http://schemas.openxmlformats.org/officeDocument/2006/relationships/hyperlink" Target="https://www.feec.cat/activitats/100-cims/cim/puig-pelat/" TargetMode="External" Id="rId283"/><Relationship Type="http://schemas.openxmlformats.org/officeDocument/2006/relationships/hyperlink" Target="https://www.google.com/maps/search/?api=1&amp;query=41.266310,1.054500" TargetMode="External" Id="rId284"/><Relationship Type="http://schemas.openxmlformats.org/officeDocument/2006/relationships/hyperlink" Target="https://www.feec.cat/activitats/100-cims/cim/puig-de-gallicant/" TargetMode="External" Id="rId285"/><Relationship Type="http://schemas.openxmlformats.org/officeDocument/2006/relationships/hyperlink" Target="https://www.google.com/maps/search/?api=1&amp;query=41.249500,0.960720" TargetMode="External" Id="rId286"/><Relationship Type="http://schemas.openxmlformats.org/officeDocument/2006/relationships/hyperlink" Target="https://www.feec.cat/activitats/100-cims/cim/picorandan/" TargetMode="External" Id="rId287"/><Relationship Type="http://schemas.openxmlformats.org/officeDocument/2006/relationships/hyperlink" Target="https://www.google.com/maps/search/?api=1&amp;query=41.287890,1.017190" TargetMode="External" Id="rId288"/><Relationship Type="http://schemas.openxmlformats.org/officeDocument/2006/relationships/hyperlink" Target="https://www.feec.cat/activitats/100-cims/cim/mola-de-colldejou/" TargetMode="External" Id="rId289"/><Relationship Type="http://schemas.openxmlformats.org/officeDocument/2006/relationships/hyperlink" Target="https://www.google.com/maps/search/?api=1&amp;query=41.107470,0.873960" TargetMode="External" Id="rId290"/><Relationship Type="http://schemas.openxmlformats.org/officeDocument/2006/relationships/hyperlink" Target="https://www.feec.cat/activitats/100-cims/cim/miranda-de-llaberia/" TargetMode="External" Id="rId291"/><Relationship Type="http://schemas.openxmlformats.org/officeDocument/2006/relationships/hyperlink" Target="https://www.google.com/maps/search/?api=1&amp;query=41.092630,0.862620" TargetMode="External" Id="rId292"/><Relationship Type="http://schemas.openxmlformats.org/officeDocument/2006/relationships/hyperlink" Target="https://www.feec.cat/activitats/100-cims/cim/cavall-bernat-de-llaberia/" TargetMode="External" Id="rId293"/><Relationship Type="http://schemas.openxmlformats.org/officeDocument/2006/relationships/hyperlink" Target="https://www.google.com/maps/search/?api=1&amp;query=41.084050,0.875160" TargetMode="External" Id="rId294"/><Relationship Type="http://schemas.openxmlformats.org/officeDocument/2006/relationships/hyperlink" Target="https://www.feec.cat/activitats/100-cims/cim/miranda-de-puigcerver/" TargetMode="External" Id="rId295"/><Relationship Type="http://schemas.openxmlformats.org/officeDocument/2006/relationships/hyperlink" Target="https://www.google.com/maps/search/?api=1&amp;query=41.193590,0.931580" TargetMode="External" Id="rId296"/><Relationship Type="http://schemas.openxmlformats.org/officeDocument/2006/relationships/hyperlink" Target="https://www.feec.cat/activitats/100-cims/cim/mollo-puntaire/" TargetMode="External" Id="rId297"/><Relationship Type="http://schemas.openxmlformats.org/officeDocument/2006/relationships/hyperlink" Target="https://www.google.com/maps/search/?api=1&amp;query=40.990620,0.847840" TargetMode="External" Id="rId298"/><Relationship Type="http://schemas.openxmlformats.org/officeDocument/2006/relationships/hyperlink" Target="https://www.feec.cat/activitats/100-cims/cim/puig-den-cama/" TargetMode="External" Id="rId299"/><Relationship Type="http://schemas.openxmlformats.org/officeDocument/2006/relationships/hyperlink" Target="https://www.google.com/maps/search/?api=1&amp;query=41.220260,1.094070" TargetMode="External" Id="rId300"/><Relationship Type="http://schemas.openxmlformats.org/officeDocument/2006/relationships/hyperlink" Target="https://www.feec.cat/activitats/100-cims/cim/mola-de-genessies/" TargetMode="External" Id="rId301"/><Relationship Type="http://schemas.openxmlformats.org/officeDocument/2006/relationships/hyperlink" Target="https://www.google.com/maps/search/?api=1&amp;query=41.016290,0.785430" TargetMode="External" Id="rId302"/><Relationship Type="http://schemas.openxmlformats.org/officeDocument/2006/relationships/hyperlink" Target="https://www.feec.cat/activitats/100-cims/cim/tossal-de-lalzina/" TargetMode="External" Id="rId303"/><Relationship Type="http://schemas.openxmlformats.org/officeDocument/2006/relationships/hyperlink" Target="https://www.google.com/maps/search/?api=1&amp;query=40.968090,0.809550" TargetMode="External" Id="rId304"/><Relationship Type="http://schemas.openxmlformats.org/officeDocument/2006/relationships/hyperlink" Target="https://www.feec.cat/activitats/100-cims/cim/santa-barbara-escornalbou/" TargetMode="External" Id="rId305"/><Relationship Type="http://schemas.openxmlformats.org/officeDocument/2006/relationships/hyperlink" Target="https://www.google.com/maps/search/?api=1&amp;query=41.127020,0.914950" TargetMode="External" Id="rId306"/><Relationship Type="http://schemas.openxmlformats.org/officeDocument/2006/relationships/hyperlink" Target="https://www.feec.cat/activitats/100-cims/cim/puig-de-la-cabrafiga/" TargetMode="External" Id="rId307"/><Relationship Type="http://schemas.openxmlformats.org/officeDocument/2006/relationships/hyperlink" Target="https://www.google.com/maps/search/?api=1&amp;query=41.053440,0.895050" TargetMode="External" Id="rId308"/><Relationship Type="http://schemas.openxmlformats.org/officeDocument/2006/relationships/hyperlink" Target="https://www.feec.cat/activitats/100-cims/cim/punta-del-pallars/" TargetMode="External" Id="rId309"/><Relationship Type="http://schemas.openxmlformats.org/officeDocument/2006/relationships/hyperlink" Target="https://www.google.com/maps/search/?api=1&amp;query=41.012470,0.873880" TargetMode="External" Id="rId310"/><Relationship Type="http://schemas.openxmlformats.org/officeDocument/2006/relationships/hyperlink" Target="https://www.feec.cat/activitats/100-cims/cim/serret-del-cisa/" TargetMode="External" Id="rId311"/><Relationship Type="http://schemas.openxmlformats.org/officeDocument/2006/relationships/hyperlink" Target="https://www.google.com/maps/search/?api=1&amp;query=41.199650,1.017460" TargetMode="External" Id="rId312"/><Relationship Type="http://schemas.openxmlformats.org/officeDocument/2006/relationships/hyperlink" Target="https://www.feec.cat/activitats/100-cims/cim/el-bres/" TargetMode="External" Id="rId313"/><Relationship Type="http://schemas.openxmlformats.org/officeDocument/2006/relationships/hyperlink" Target="https://www.google.com/maps/search/?api=1&amp;query=41.153940,0.977410" TargetMode="External" Id="rId314"/><Relationship Type="http://schemas.openxmlformats.org/officeDocument/2006/relationships/hyperlink" Target="https://www.feec.cat/activitats/100-cims/cim/el-torn/" TargetMode="External" Id="rId315"/><Relationship Type="http://schemas.openxmlformats.org/officeDocument/2006/relationships/hyperlink" Target="https://www.google.com/maps/search/?api=1&amp;query=40.965750,0.883350" TargetMode="External" Id="rId316"/><Relationship Type="http://schemas.openxmlformats.org/officeDocument/2006/relationships/hyperlink" Target="https://www.feec.cat/activitats/100-cims/cim/caro/" TargetMode="External" Id="rId317"/><Relationship Type="http://schemas.openxmlformats.org/officeDocument/2006/relationships/hyperlink" Target="https://www.google.com/maps/search/?api=1&amp;query=40.803130,0.343120" TargetMode="External" Id="rId318"/><Relationship Type="http://schemas.openxmlformats.org/officeDocument/2006/relationships/hyperlink" Target="https://www.feec.cat/activitats/100-cims/cim/catinell/" TargetMode="External" Id="rId319"/><Relationship Type="http://schemas.openxmlformats.org/officeDocument/2006/relationships/hyperlink" Target="https://www.google.com/maps/search/?api=1&amp;query=40.758730,0.289650" TargetMode="External" Id="rId320"/><Relationship Type="http://schemas.openxmlformats.org/officeDocument/2006/relationships/hyperlink" Target="https://www.feec.cat/activitats/100-cims/cim/tosseta-rasa/" TargetMode="External" Id="rId321"/><Relationship Type="http://schemas.openxmlformats.org/officeDocument/2006/relationships/hyperlink" Target="https://www.google.com/maps/search/?api=1&amp;query=40.845020,0.327440" TargetMode="External" Id="rId322"/><Relationship Type="http://schemas.openxmlformats.org/officeDocument/2006/relationships/hyperlink" Target="https://www.feec.cat/activitats/100-cims/cim/lespina/" TargetMode="External" Id="rId323"/><Relationship Type="http://schemas.openxmlformats.org/officeDocument/2006/relationships/hyperlink" Target="https://www.google.com/maps/search/?api=1&amp;query=40.879370,0.360900" TargetMode="External" Id="rId324"/><Relationship Type="http://schemas.openxmlformats.org/officeDocument/2006/relationships/hyperlink" Target="https://www.feec.cat/activitats/100-cims/cim/punta-de-laigua/" TargetMode="External" Id="rId325"/><Relationship Type="http://schemas.openxmlformats.org/officeDocument/2006/relationships/hyperlink" Target="https://www.google.com/maps/search/?api=1&amp;query=40.927730,0.368810" TargetMode="External" Id="rId326"/><Relationship Type="http://schemas.openxmlformats.org/officeDocument/2006/relationships/hyperlink" Target="https://www.feec.cat/activitats/100-cims/cim/tossal-dengrillo/" TargetMode="External" Id="rId327"/><Relationship Type="http://schemas.openxmlformats.org/officeDocument/2006/relationships/hyperlink" Target="https://www.google.com/maps/search/?api=1&amp;query=40.943040,0.370790" TargetMode="External" Id="rId328"/><Relationship Type="http://schemas.openxmlformats.org/officeDocument/2006/relationships/hyperlink" Target="https://www.feec.cat/activitats/100-cims/cim/moleta-de-les-canals/" TargetMode="External" Id="rId329"/><Relationship Type="http://schemas.openxmlformats.org/officeDocument/2006/relationships/hyperlink" Target="https://www.google.com/maps/search/?api=1&amp;query=40.909030,0.362740" TargetMode="External" Id="rId330"/><Relationship Type="http://schemas.openxmlformats.org/officeDocument/2006/relationships/hyperlink" Target="https://www.feec.cat/activitats/100-cims/cim/mola-castellona/" TargetMode="External" Id="rId331"/><Relationship Type="http://schemas.openxmlformats.org/officeDocument/2006/relationships/hyperlink" Target="https://www.google.com/maps/search/?api=1&amp;query=40.799760,0.369780" TargetMode="External" Id="rId332"/><Relationship Type="http://schemas.openxmlformats.org/officeDocument/2006/relationships/hyperlink" Target="https://www.feec.cat/activitats/100-cims/cim/xaquera-o-creu-de-santos/" TargetMode="External" Id="rId333"/><Relationship Type="http://schemas.openxmlformats.org/officeDocument/2006/relationships/hyperlink" Target="https://www.google.com/maps/search/?api=1&amp;query=40.940690,0.586020" TargetMode="External" Id="rId334"/><Relationship Type="http://schemas.openxmlformats.org/officeDocument/2006/relationships/hyperlink" Target="https://www.feec.cat/activitats/100-cims/cim/la-coscollosa/" TargetMode="External" Id="rId335"/><Relationship Type="http://schemas.openxmlformats.org/officeDocument/2006/relationships/hyperlink" Target="https://www.google.com/maps/search/?api=1&amp;query=40.902380,0.413560" TargetMode="External" Id="rId336"/><Relationship Type="http://schemas.openxmlformats.org/officeDocument/2006/relationships/hyperlink" Target="https://www.feec.cat/activitats/100-cims/cim/la-moleta/" TargetMode="External" Id="rId337"/><Relationship Type="http://schemas.openxmlformats.org/officeDocument/2006/relationships/hyperlink" Target="https://www.google.com/maps/search/?api=1&amp;query=40.899300,0.417870" TargetMode="External" Id="rId338"/><Relationship Type="http://schemas.openxmlformats.org/officeDocument/2006/relationships/hyperlink" Target="https://www.feec.cat/activitats/100-cims/cim/roca-de-la-barca-les-picossies/" TargetMode="External" Id="rId339"/><Relationship Type="http://schemas.openxmlformats.org/officeDocument/2006/relationships/hyperlink" Target="https://www.google.com/maps/search/?api=1&amp;query=40.963490,0.584370" TargetMode="External" Id="rId340"/><Relationship Type="http://schemas.openxmlformats.org/officeDocument/2006/relationships/hyperlink" Target="https://www.feec.cat/activitats/100-cims/cim/morral-del-cabrafeixet/" TargetMode="External" Id="rId341"/><Relationship Type="http://schemas.openxmlformats.org/officeDocument/2006/relationships/hyperlink" Target="https://www.google.com/maps/search/?api=1&amp;query=40.898580,0.625030" TargetMode="External" Id="rId342"/><Relationship Type="http://schemas.openxmlformats.org/officeDocument/2006/relationships/hyperlink" Target="https://www.feec.cat/activitats/100-cims/cim/montaspre/" TargetMode="External" Id="rId343"/><Relationship Type="http://schemas.openxmlformats.org/officeDocument/2006/relationships/hyperlink" Target="https://www.google.com/maps/search/?api=1&amp;query=40.875580,0.570930" TargetMode="External" Id="rId344"/><Relationship Type="http://schemas.openxmlformats.org/officeDocument/2006/relationships/hyperlink" Target="https://www.feec.cat/activitats/100-cims/cim/lo-caramull/" TargetMode="External" Id="rId345"/><Relationship Type="http://schemas.openxmlformats.org/officeDocument/2006/relationships/hyperlink" Target="https://www.google.com/maps/search/?api=1&amp;query=40.987110,0.547850" TargetMode="External" Id="rId346"/><Relationship Type="http://schemas.openxmlformats.org/officeDocument/2006/relationships/hyperlink" Target="https://www.feec.cat/activitats/100-cims/cim/tossal-de-montagut/" TargetMode="External" Id="rId347"/><Relationship Type="http://schemas.openxmlformats.org/officeDocument/2006/relationships/hyperlink" Target="https://www.google.com/maps/search/?api=1&amp;query=40.941300,0.714710" TargetMode="External" Id="rId348"/><Relationship Type="http://schemas.openxmlformats.org/officeDocument/2006/relationships/hyperlink" Target="https://www.feec.cat/activitats/100-cims/cim/puig-darques/" TargetMode="External" Id="rId349"/><Relationship Type="http://schemas.openxmlformats.org/officeDocument/2006/relationships/hyperlink" Target="https://www.google.com/maps/search/?api=1&amp;query=41.888730,2.994300" TargetMode="External" Id="rId350"/><Relationship Type="http://schemas.openxmlformats.org/officeDocument/2006/relationships/hyperlink" Target="https://www.feec.cat/activitats/100-cims/cim/puig-de-les-cols/" TargetMode="External" Id="rId351"/><Relationship Type="http://schemas.openxmlformats.org/officeDocument/2006/relationships/hyperlink" Target="https://www.google.com/maps/search/?api=1&amp;query=41.780440,2.975680" TargetMode="External" Id="rId352"/><Relationship Type="http://schemas.openxmlformats.org/officeDocument/2006/relationships/hyperlink" Target="https://www.feec.cat/activitats/100-cims/cim/montclar/" TargetMode="External" Id="rId353"/><Relationship Type="http://schemas.openxmlformats.org/officeDocument/2006/relationships/hyperlink" Target="https://www.google.com/maps/search/?api=1&amp;query=41.788660,2.956190" TargetMode="External" Id="rId354"/><Relationship Type="http://schemas.openxmlformats.org/officeDocument/2006/relationships/hyperlink" Target="https://www.feec.cat/activitats/100-cims/cim/puig-gros/" TargetMode="External" Id="rId355"/><Relationship Type="http://schemas.openxmlformats.org/officeDocument/2006/relationships/hyperlink" Target="https://www.google.com/maps/search/?api=1&amp;query=41.775020,2.997970" TargetMode="External" Id="rId356"/><Relationship Type="http://schemas.openxmlformats.org/officeDocument/2006/relationships/hyperlink" Target="https://www.feec.cat/activitats/100-cims/cim/castell-de-montgri/" TargetMode="External" Id="rId357"/><Relationship Type="http://schemas.openxmlformats.org/officeDocument/2006/relationships/hyperlink" Target="https://www.google.com/maps/search/?api=1&amp;query=42.052110,3.131650" TargetMode="External" Id="rId358"/><Relationship Type="http://schemas.openxmlformats.org/officeDocument/2006/relationships/hyperlink" Target="https://www.feec.cat/activitats/100-cims/cim/quermany-gros/" TargetMode="External" Id="rId359"/><Relationship Type="http://schemas.openxmlformats.org/officeDocument/2006/relationships/hyperlink" Target="https://www.google.com/maps/search/?api=1&amp;query=41.960310,3.170100" TargetMode="External" Id="rId360"/><Relationship Type="http://schemas.openxmlformats.org/officeDocument/2006/relationships/hyperlink" Target="https://www.feec.cat/activitats/100-cims/cim/roca-maura/" TargetMode="External" Id="rId361"/><Relationship Type="http://schemas.openxmlformats.org/officeDocument/2006/relationships/hyperlink" Target="https://www.google.com/maps/search/?api=1&amp;query=42.055400,3.189830" TargetMode="External" Id="rId362"/><Relationship Type="http://schemas.openxmlformats.org/officeDocument/2006/relationships/hyperlink" Target="https://www.feec.cat/activitats/100-cims/cim/lalbarda-castellana/" TargetMode="External" Id="rId363"/><Relationship Type="http://schemas.openxmlformats.org/officeDocument/2006/relationships/hyperlink" Target="https://www.google.com/maps/search/?api=1&amp;query=41.601020,1.813380" TargetMode="External" Id="rId364"/><Relationship Type="http://schemas.openxmlformats.org/officeDocument/2006/relationships/hyperlink" Target="https://www.feec.cat/activitats/100-cims/cim/miranda-de-santa-magdalena/" TargetMode="External" Id="rId365"/><Relationship Type="http://schemas.openxmlformats.org/officeDocument/2006/relationships/hyperlink" Target="https://www.google.com/maps/search/?api=1&amp;query=41.588410,1.826480" TargetMode="External" Id="rId366"/><Relationship Type="http://schemas.openxmlformats.org/officeDocument/2006/relationships/hyperlink" Target="https://www.feec.cat/activitats/100-cims/cim/la-morella/" TargetMode="External" Id="rId367"/><Relationship Type="http://schemas.openxmlformats.org/officeDocument/2006/relationships/hyperlink" Target="https://www.google.com/maps/search/?api=1&amp;query=41.296530,1.915490" TargetMode="External" Id="rId368"/><Relationship Type="http://schemas.openxmlformats.org/officeDocument/2006/relationships/hyperlink" Target="https://www.feec.cat/activitats/100-cims/cim/les-solius/" TargetMode="External" Id="rId369"/><Relationship Type="http://schemas.openxmlformats.org/officeDocument/2006/relationships/hyperlink" Target="https://www.google.com/maps/search/?api=1&amp;query=41.308460,1.886800" TargetMode="External" Id="rId370"/><Relationship Type="http://schemas.openxmlformats.org/officeDocument/2006/relationships/hyperlink" Target="https://www.feec.cat/activitats/100-cims/cim/puig-cendros/" TargetMode="External" Id="rId371"/><Relationship Type="http://schemas.openxmlformats.org/officeDocument/2006/relationships/hyperlink" Target="https://www.google.com/maps/search/?api=1&amp;query=41.575640,1.892990" TargetMode="External" Id="rId372"/><Relationship Type="http://schemas.openxmlformats.org/officeDocument/2006/relationships/hyperlink" Target="https://www.feec.cat/activitats/100-cims/cim/puig-vicenc/" TargetMode="External" Id="rId373"/><Relationship Type="http://schemas.openxmlformats.org/officeDocument/2006/relationships/hyperlink" Target="https://www.google.com/maps/search/?api=1&amp;query=41.367810,1.954040" TargetMode="External" Id="rId374"/><Relationship Type="http://schemas.openxmlformats.org/officeDocument/2006/relationships/hyperlink" Target="https://www.feec.cat/activitats/100-cims/cim/puig-dolorda/" TargetMode="External" Id="rId375"/><Relationship Type="http://schemas.openxmlformats.org/officeDocument/2006/relationships/hyperlink" Target="https://www.google.com/maps/search/?api=1&amp;query=41.412210,2.055210" TargetMode="External" Id="rId376"/><Relationship Type="http://schemas.openxmlformats.org/officeDocument/2006/relationships/hyperlink" Target="https://www.feec.cat/activitats/100-cims/cim/sant-salvador-de-les-espases/" TargetMode="External" Id="rId377"/><Relationship Type="http://schemas.openxmlformats.org/officeDocument/2006/relationships/hyperlink" Target="https://www.google.com/maps/search/?api=1&amp;query=41.579090,1.884430" TargetMode="External" Id="rId378"/><Relationship Type="http://schemas.openxmlformats.org/officeDocument/2006/relationships/hyperlink" Target="https://www.feec.cat/activitats/100-cims/cim/sant-pere-martir/" TargetMode="External" Id="rId379"/><Relationship Type="http://schemas.openxmlformats.org/officeDocument/2006/relationships/hyperlink" Target="https://www.google.com/maps/search/?api=1&amp;query=41.393660,2.097880" TargetMode="External" Id="rId380"/><Relationship Type="http://schemas.openxmlformats.org/officeDocument/2006/relationships/hyperlink" Target="https://www.feec.cat/activitats/100-cims/cim/puig-madrona/" TargetMode="External" Id="rId381"/><Relationship Type="http://schemas.openxmlformats.org/officeDocument/2006/relationships/hyperlink" Target="https://www.google.com/maps/search/?api=1&amp;query=41.451300,2.024100" TargetMode="External" Id="rId382"/><Relationship Type="http://schemas.openxmlformats.org/officeDocument/2006/relationships/hyperlink" Target="https://www.feec.cat/activitats/100-cims/cim/sant-ramon/" TargetMode="External" Id="rId383"/><Relationship Type="http://schemas.openxmlformats.org/officeDocument/2006/relationships/hyperlink" Target="https://www.google.com/maps/search/?api=1&amp;query=41.337780,2.011180" TargetMode="External" Id="rId384"/><Relationship Type="http://schemas.openxmlformats.org/officeDocument/2006/relationships/hyperlink" Target="https://www.feec.cat/activitats/100-cims/cim/talaia-del-montmell/" TargetMode="External" Id="rId385"/><Relationship Type="http://schemas.openxmlformats.org/officeDocument/2006/relationships/hyperlink" Target="https://www.google.com/maps/search/?api=1&amp;query=41.335790,1.466710" TargetMode="External" Id="rId386"/><Relationship Type="http://schemas.openxmlformats.org/officeDocument/2006/relationships/hyperlink" Target="https://www.feec.cat/activitats/100-cims/cim/puig-de-la-cova/" TargetMode="External" Id="rId387"/><Relationship Type="http://schemas.openxmlformats.org/officeDocument/2006/relationships/hyperlink" Target="https://www.google.com/maps/search/?api=1&amp;query=41.315100,1.475110" TargetMode="External" Id="rId388"/><Relationship Type="http://schemas.openxmlformats.org/officeDocument/2006/relationships/hyperlink" Target="https://www.feec.cat/activitats/100-cims/cim/puig-francas/" TargetMode="External" Id="rId389"/><Relationship Type="http://schemas.openxmlformats.org/officeDocument/2006/relationships/hyperlink" Target="https://www.google.com/maps/search/?api=1&amp;query=41.301170,1.458890" TargetMode="External" Id="rId390"/><Relationship Type="http://schemas.openxmlformats.org/officeDocument/2006/relationships/hyperlink" Target="https://www.feec.cat/activitats/100-cims/cim/puig-de-sant-antoni/" TargetMode="External" Id="rId391"/><Relationship Type="http://schemas.openxmlformats.org/officeDocument/2006/relationships/hyperlink" Target="https://www.google.com/maps/search/?api=1&amp;query=41.243710,1.474330" TargetMode="External" Id="rId392"/><Relationship Type="http://schemas.openxmlformats.org/officeDocument/2006/relationships/hyperlink" Target="https://www.feec.cat/activitats/100-cims/cim/la-mola/" TargetMode="External" Id="rId393"/><Relationship Type="http://schemas.openxmlformats.org/officeDocument/2006/relationships/hyperlink" Target="https://www.google.com/maps/search/?api=1&amp;query=41.211660,1.417300" TargetMode="External" Id="rId394"/><Relationship Type="http://schemas.openxmlformats.org/officeDocument/2006/relationships/hyperlink" Target="https://www.feec.cat/activitats/100-cims/cim/turo-de-magarola/" TargetMode="External" Id="rId395"/><Relationship Type="http://schemas.openxmlformats.org/officeDocument/2006/relationships/hyperlink" Target="https://www.google.com/maps/search/?api=1&amp;query=41.442170,2.129680" TargetMode="External" Id="rId396"/><Relationship Type="http://schemas.openxmlformats.org/officeDocument/2006/relationships/hyperlink" Target="https://www.feec.cat/activitats/100-cims/cim/puig-castellar/" TargetMode="External" Id="rId397"/><Relationship Type="http://schemas.openxmlformats.org/officeDocument/2006/relationships/hyperlink" Target="https://www.google.com/maps/search/?api=1&amp;query=41.470300,2.206590" TargetMode="External" Id="rId398"/><Relationship Type="http://schemas.openxmlformats.org/officeDocument/2006/relationships/hyperlink" Target="https://www.feec.cat/activitats/100-cims/cim/turo-den-mora-turo-del-carmel/" TargetMode="External" Id="rId399"/><Relationship Type="http://schemas.openxmlformats.org/officeDocument/2006/relationships/hyperlink" Target="https://www.google.com/maps/search/?api=1&amp;query=41.418440,2.153350" TargetMode="External" Id="rId400"/><Relationship Type="http://schemas.openxmlformats.org/officeDocument/2006/relationships/hyperlink" Target="https://www.feec.cat/activitats/100-cims/cim/comabona/" TargetMode="External" Id="rId401"/><Relationship Type="http://schemas.openxmlformats.org/officeDocument/2006/relationships/hyperlink" Target="https://www.google.com/maps/search/?api=1&amp;query=42.283690,1.726290" TargetMode="External" Id="rId402"/><Relationship Type="http://schemas.openxmlformats.org/officeDocument/2006/relationships/hyperlink" Target="https://www.feec.cat/activitats/100-cims/cim/la-tosa/" TargetMode="External" Id="rId403"/><Relationship Type="http://schemas.openxmlformats.org/officeDocument/2006/relationships/hyperlink" Target="https://www.google.com/maps/search/?api=1&amp;query=42.320580,1.892660" TargetMode="External" Id="rId404"/><Relationship Type="http://schemas.openxmlformats.org/officeDocument/2006/relationships/hyperlink" Target="https://www.feec.cat/activitats/100-cims/cim/pollego-superior-pedraforca/" TargetMode="External" Id="rId405"/><Relationship Type="http://schemas.openxmlformats.org/officeDocument/2006/relationships/hyperlink" Target="https://www.google.com/maps/search/?api=1&amp;query=42.239950,1.702930" TargetMode="External" Id="rId406"/><Relationship Type="http://schemas.openxmlformats.org/officeDocument/2006/relationships/hyperlink" Target="https://www.feec.cat/activitats/100-cims/cim/pollego-inferior-pedraforca/" TargetMode="External" Id="rId407"/><Relationship Type="http://schemas.openxmlformats.org/officeDocument/2006/relationships/hyperlink" Target="https://www.google.com/maps/search/?api=1&amp;query=42.235630,1.707020" TargetMode="External" Id="rId408"/><Relationship Type="http://schemas.openxmlformats.org/officeDocument/2006/relationships/hyperlink" Target="https://www.feec.cat/activitats/100-cims/cim/puigllancada/" TargetMode="External" Id="rId409"/><Relationship Type="http://schemas.openxmlformats.org/officeDocument/2006/relationships/hyperlink" Target="https://www.google.com/maps/search/?api=1&amp;query=42.300480,1.935530" TargetMode="External" Id="rId410"/><Relationship Type="http://schemas.openxmlformats.org/officeDocument/2006/relationships/hyperlink" Target="https://www.feec.cat/activitats/100-cims/cim/cap-de-la-gallina-pelada/" TargetMode="External" Id="rId411"/><Relationship Type="http://schemas.openxmlformats.org/officeDocument/2006/relationships/hyperlink" Target="https://www.google.com/maps/search/?api=1&amp;query=42.189430,1.738040" TargetMode="External" Id="rId412"/><Relationship Type="http://schemas.openxmlformats.org/officeDocument/2006/relationships/hyperlink" Target="https://www.feec.cat/activitats/100-cims/cim/serrat-voltor/" TargetMode="External" Id="rId413"/><Relationship Type="http://schemas.openxmlformats.org/officeDocument/2006/relationships/hyperlink" Target="https://www.google.com/maps/search/?api=1&amp;query=42.188120,1.777020" TargetMode="External" Id="rId414"/><Relationship Type="http://schemas.openxmlformats.org/officeDocument/2006/relationships/hyperlink" Target="https://www.feec.cat/activitats/100-cims/cim/penyes-altes/" TargetMode="External" Id="rId415"/><Relationship Type="http://schemas.openxmlformats.org/officeDocument/2006/relationships/hyperlink" Target="https://www.google.com/maps/search/?api=1&amp;query=42.306300,1.842470" TargetMode="External" Id="rId416"/><Relationship Type="http://schemas.openxmlformats.org/officeDocument/2006/relationships/hyperlink" Target="https://www.feec.cat/activitats/100-cims/cim/la-creueta/" TargetMode="External" Id="rId417"/><Relationship Type="http://schemas.openxmlformats.org/officeDocument/2006/relationships/hyperlink" Target="https://www.google.com/maps/search/?api=1&amp;query=42.305550,2.002300" TargetMode="External" Id="rId418"/><Relationship Type="http://schemas.openxmlformats.org/officeDocument/2006/relationships/hyperlink" Target="https://www.feec.cat/activitats/100-cims/cim/cogullo-destela/" TargetMode="External" Id="rId419"/><Relationship Type="http://schemas.openxmlformats.org/officeDocument/2006/relationships/hyperlink" Target="https://www.google.com/maps/search/?api=1&amp;query=42.121610,1.787090" TargetMode="External" Id="rId420"/><Relationship Type="http://schemas.openxmlformats.org/officeDocument/2006/relationships/hyperlink" Target="https://www.feec.cat/activitats/100-cims/cim/cap-de-la-boixassa/" TargetMode="External" Id="rId421"/><Relationship Type="http://schemas.openxmlformats.org/officeDocument/2006/relationships/hyperlink" Target="https://www.google.com/maps/search/?api=1&amp;query=42.288560,1.798620" TargetMode="External" Id="rId422"/><Relationship Type="http://schemas.openxmlformats.org/officeDocument/2006/relationships/hyperlink" Target="https://www.feec.cat/activitats/100-cims/cim/sobrepuny/" TargetMode="External" Id="rId423"/><Relationship Type="http://schemas.openxmlformats.org/officeDocument/2006/relationships/hyperlink" Target="https://www.google.com/maps/search/?api=1&amp;query=42.167720,1.910710" TargetMode="External" Id="rId424"/><Relationship Type="http://schemas.openxmlformats.org/officeDocument/2006/relationships/hyperlink" Target="https://www.feec.cat/activitats/100-cims/cim/roca-del-joc-roca-de-la-devesa-jussana/" TargetMode="External" Id="rId425"/><Relationship Type="http://schemas.openxmlformats.org/officeDocument/2006/relationships/hyperlink" Target="https://www.google.com/maps/search/?api=1&amp;query=42.215190,1.963730" TargetMode="External" Id="rId426"/><Relationship Type="http://schemas.openxmlformats.org/officeDocument/2006/relationships/hyperlink" Target="https://www.feec.cat/activitats/100-cims/cim/sant-marc-de-broca/" TargetMode="External" Id="rId427"/><Relationship Type="http://schemas.openxmlformats.org/officeDocument/2006/relationships/hyperlink" Target="https://www.google.com/maps/search/?api=1&amp;query=42.264930,1.898740" TargetMode="External" Id="rId428"/><Relationship Type="http://schemas.openxmlformats.org/officeDocument/2006/relationships/hyperlink" Target="https://www.feec.cat/activitats/100-cims/cim/pedro-de-tubau/" TargetMode="External" Id="rId429"/><Relationship Type="http://schemas.openxmlformats.org/officeDocument/2006/relationships/hyperlink" Target="https://www.google.com/maps/search/?api=1&amp;query=42.220200,2.049570" TargetMode="External" Id="rId430"/><Relationship Type="http://schemas.openxmlformats.org/officeDocument/2006/relationships/hyperlink" Target="https://www.feec.cat/activitats/100-cims/cim/els-tossals/" TargetMode="External" Id="rId431"/><Relationship Type="http://schemas.openxmlformats.org/officeDocument/2006/relationships/hyperlink" Target="https://www.google.com/maps/search/?api=1&amp;query=42.089250,1.727430" TargetMode="External" Id="rId432"/><Relationship Type="http://schemas.openxmlformats.org/officeDocument/2006/relationships/hyperlink" Target="https://www.feec.cat/activitats/100-cims/cim/tossal-de-les-viudes/" TargetMode="External" Id="rId433"/><Relationship Type="http://schemas.openxmlformats.org/officeDocument/2006/relationships/hyperlink" Target="https://www.google.com/maps/search/?api=1&amp;query=42.114750,1.659230" TargetMode="External" Id="rId434"/><Relationship Type="http://schemas.openxmlformats.org/officeDocument/2006/relationships/hyperlink" Target="https://www.feec.cat/activitats/100-cims/cim/tossal-llisoi/" TargetMode="External" Id="rId435"/><Relationship Type="http://schemas.openxmlformats.org/officeDocument/2006/relationships/hyperlink" Target="https://www.google.com/maps/search/?api=1&amp;query=42.201150,1.843530" TargetMode="External" Id="rId436"/><Relationship Type="http://schemas.openxmlformats.org/officeDocument/2006/relationships/hyperlink" Target="https://www.feec.cat/activitats/100-cims/cim/salga-aguda/" TargetMode="External" Id="rId437"/><Relationship Type="http://schemas.openxmlformats.org/officeDocument/2006/relationships/hyperlink" Target="https://www.google.com/maps/search/?api=1&amp;query=42.119250,1.951410" TargetMode="External" Id="rId438"/><Relationship Type="http://schemas.openxmlformats.org/officeDocument/2006/relationships/hyperlink" Target="https://www.feec.cat/activitats/100-cims/cim/sant-salvador/" TargetMode="External" Id="rId439"/><Relationship Type="http://schemas.openxmlformats.org/officeDocument/2006/relationships/hyperlink" Target="https://www.google.com/maps/search/?api=1&amp;query=42.061360,1.781980" TargetMode="External" Id="rId440"/><Relationship Type="http://schemas.openxmlformats.org/officeDocument/2006/relationships/hyperlink" Target="https://www.feec.cat/activitats/100-cims/cim/serrat-de-sant-isidre/" TargetMode="External" Id="rId441"/><Relationship Type="http://schemas.openxmlformats.org/officeDocument/2006/relationships/hyperlink" Target="https://www.google.com/maps/search/?api=1&amp;query=42.090510,1.961990" TargetMode="External" Id="rId442"/><Relationship Type="http://schemas.openxmlformats.org/officeDocument/2006/relationships/hyperlink" Target="https://www.feec.cat/activitats/100-cims/cim/serrat-de-migdia-serrat-de-picancel/" TargetMode="External" Id="rId443"/><Relationship Type="http://schemas.openxmlformats.org/officeDocument/2006/relationships/hyperlink" Target="https://www.google.com/maps/search/?api=1&amp;query=42.118160,1.931650" TargetMode="External" Id="rId444"/><Relationship Type="http://schemas.openxmlformats.org/officeDocument/2006/relationships/hyperlink" Target="https://www.feec.cat/activitats/100-cims/cim/montsent-serrat-de-picancel/" TargetMode="External" Id="rId445"/><Relationship Type="http://schemas.openxmlformats.org/officeDocument/2006/relationships/hyperlink" Target="https://www.google.com/maps/search/?api=1&amp;query=42.095780,1.908240" TargetMode="External" Id="rId446"/><Relationship Type="http://schemas.openxmlformats.org/officeDocument/2006/relationships/hyperlink" Target="https://www.feec.cat/activitats/100-cims/cim/serrat-de-la-madrona/" TargetMode="External" Id="rId447"/><Relationship Type="http://schemas.openxmlformats.org/officeDocument/2006/relationships/hyperlink" Target="https://www.google.com/maps/search/?api=1&amp;query=41.990490,1.843370" TargetMode="External" Id="rId448"/><Relationship Type="http://schemas.openxmlformats.org/officeDocument/2006/relationships/hyperlink" Target="https://www.feec.cat/activitats/100-cims/cim/puig-peric/" TargetMode="External" Id="rId449"/><Relationship Type="http://schemas.openxmlformats.org/officeDocument/2006/relationships/hyperlink" Target="https://www.google.com/maps/search/?api=1&amp;query=42.613630,1.984450" TargetMode="External" Id="rId450"/><Relationship Type="http://schemas.openxmlformats.org/officeDocument/2006/relationships/hyperlink" Target="https://www.feec.cat/activitats/100-cims/cim/pic-de-baixollada/" TargetMode="External" Id="rId451"/><Relationship Type="http://schemas.openxmlformats.org/officeDocument/2006/relationships/hyperlink" Target="https://www.google.com/maps/search/?api=1&amp;query=42.661110,2.002220" TargetMode="External" Id="rId452"/><Relationship Type="http://schemas.openxmlformats.org/officeDocument/2006/relationships/hyperlink" Target="https://www.feec.cat/activitats/100-cims/cim/puig-del-pam/" TargetMode="External" Id="rId453"/><Relationship Type="http://schemas.openxmlformats.org/officeDocument/2006/relationships/hyperlink" Target="https://www.google.com/maps/search/?api=1&amp;query=42.604820,2.031040" TargetMode="External" Id="rId454"/><Relationship Type="http://schemas.openxmlformats.org/officeDocument/2006/relationships/hyperlink" Target="https://www.feec.cat/activitats/100-cims/cim/puigpedros/" TargetMode="External" Id="rId455"/><Relationship Type="http://schemas.openxmlformats.org/officeDocument/2006/relationships/hyperlink" Target="https://www.google.com/maps/search/?api=1&amp;query=42.487580,1.761930" TargetMode="External" Id="rId456"/><Relationship Type="http://schemas.openxmlformats.org/officeDocument/2006/relationships/hyperlink" Target="https://www.feec.cat/activitats/100-cims/cim/tosseta-de-lesquella-pic-de-calm-colomer/" TargetMode="External" Id="rId457"/><Relationship Type="http://schemas.openxmlformats.org/officeDocument/2006/relationships/hyperlink" Target="https://www.google.com/maps/search/?api=1&amp;query=42.492380,1.730060" TargetMode="External" Id="rId458"/><Relationship Type="http://schemas.openxmlformats.org/officeDocument/2006/relationships/hyperlink" Target="https://www.feec.cat/activitats/100-cims/cim/la-muga/" TargetMode="External" Id="rId459"/><Relationship Type="http://schemas.openxmlformats.org/officeDocument/2006/relationships/hyperlink" Target="https://www.google.com/maps/search/?api=1&amp;query=42.474760,1.677610" TargetMode="External" Id="rId460"/><Relationship Type="http://schemas.openxmlformats.org/officeDocument/2006/relationships/hyperlink" Target="https://www.feec.cat/activitats/100-cims/cim/tossal-bovinar/" TargetMode="External" Id="rId461"/><Relationship Type="http://schemas.openxmlformats.org/officeDocument/2006/relationships/hyperlink" Target="https://www.google.com/maps/search/?api=1&amp;query=42.462750,1.631670" TargetMode="External" Id="rId462"/><Relationship Type="http://schemas.openxmlformats.org/officeDocument/2006/relationships/hyperlink" Target="https://www.feec.cat/activitats/100-cims/cim/la-carabassa/" TargetMode="External" Id="rId463"/><Relationship Type="http://schemas.openxmlformats.org/officeDocument/2006/relationships/hyperlink" Target="https://www.google.com/maps/search/?api=1&amp;query=42.457980,1.727170" TargetMode="External" Id="rId464"/><Relationship Type="http://schemas.openxmlformats.org/officeDocument/2006/relationships/hyperlink" Target="https://www.feec.cat/activitats/100-cims/cim/tossal-gros-pelat-de-talltendre/" TargetMode="External" Id="rId465"/><Relationship Type="http://schemas.openxmlformats.org/officeDocument/2006/relationships/hyperlink" Target="https://www.google.com/maps/search/?api=1&amp;query=42.420230,1.734440" TargetMode="External" Id="rId466"/><Relationship Type="http://schemas.openxmlformats.org/officeDocument/2006/relationships/hyperlink" Target="https://www.feec.cat/activitats/100-cims/cim/roca-gran/" TargetMode="External" Id="rId467"/><Relationship Type="http://schemas.openxmlformats.org/officeDocument/2006/relationships/hyperlink" Target="https://www.google.com/maps/search/?api=1&amp;query=42.316280,1.711600" TargetMode="External" Id="rId468"/><Relationship Type="http://schemas.openxmlformats.org/officeDocument/2006/relationships/hyperlink" Target="https://www.feec.cat/activitats/100-cims/cim/castell-de-llivia/" TargetMode="External" Id="rId469"/><Relationship Type="http://schemas.openxmlformats.org/officeDocument/2006/relationships/hyperlink" Target="https://www.google.com/maps/search/?api=1&amp;query=42.467840,1.985910" TargetMode="External" Id="rId470"/><Relationship Type="http://schemas.openxmlformats.org/officeDocument/2006/relationships/hyperlink" Target="https://www.feec.cat/activitats/100-cims/cim/carlit/" TargetMode="External" Id="rId471"/><Relationship Type="http://schemas.openxmlformats.org/officeDocument/2006/relationships/hyperlink" Target="https://www.google.com/maps/search/?api=1&amp;query=42.569860,1.932100" TargetMode="External" Id="rId472"/><Relationship Type="http://schemas.openxmlformats.org/officeDocument/2006/relationships/hyperlink" Target="https://www.feec.cat/activitats/100-cims/cim/puigmal/" TargetMode="External" Id="rId473"/><Relationship Type="http://schemas.openxmlformats.org/officeDocument/2006/relationships/hyperlink" Target="https://www.google.com/maps/search/?api=1&amp;query=42.383270,2.116790" TargetMode="External" Id="rId474"/><Relationship Type="http://schemas.openxmlformats.org/officeDocument/2006/relationships/hyperlink" Target="https://www.feec.cat/activitats/100-cims/cim/puig-pedros-de-lanos/" TargetMode="External" Id="rId475"/><Relationship Type="http://schemas.openxmlformats.org/officeDocument/2006/relationships/hyperlink" Target="https://www.google.com/maps/search/?api=1&amp;query=42.588500,1.873090" TargetMode="External" Id="rId476"/><Relationship Type="http://schemas.openxmlformats.org/officeDocument/2006/relationships/hyperlink" Target="https://www.feec.cat/activitats/100-cims/cim/puig-occidental-de-coll-roig/" TargetMode="External" Id="rId477"/><Relationship Type="http://schemas.openxmlformats.org/officeDocument/2006/relationships/hyperlink" Target="https://www.google.com/maps/search/?api=1&amp;query=42.549350,1.916780" TargetMode="External" Id="rId478"/><Relationship Type="http://schemas.openxmlformats.org/officeDocument/2006/relationships/hyperlink" Target="https://www.feec.cat/activitats/100-cims/cim/torre-deina/" TargetMode="External" Id="rId479"/><Relationship Type="http://schemas.openxmlformats.org/officeDocument/2006/relationships/hyperlink" Target="https://www.google.com/maps/search/?api=1&amp;query=42.434440,2.147150" TargetMode="External" Id="rId480"/><Relationship Type="http://schemas.openxmlformats.org/officeDocument/2006/relationships/hyperlink" Target="https://www.feec.cat/activitats/100-cims/cim/pic-de-coma-dor/" TargetMode="External" Id="rId481"/><Relationship Type="http://schemas.openxmlformats.org/officeDocument/2006/relationships/hyperlink" Target="https://www.google.com/maps/search/?api=1&amp;query=42.583560,1.873620" TargetMode="External" Id="rId482"/><Relationship Type="http://schemas.openxmlformats.org/officeDocument/2006/relationships/hyperlink" Target="https://www.feec.cat/activitats/100-cims/cim/roc-del-boc/" TargetMode="External" Id="rId483"/><Relationship Type="http://schemas.openxmlformats.org/officeDocument/2006/relationships/hyperlink" Target="https://www.google.com/maps/search/?api=1&amp;query=42.446340,2.155160" TargetMode="External" Id="rId484"/><Relationship Type="http://schemas.openxmlformats.org/officeDocument/2006/relationships/hyperlink" Target="https://www.feec.cat/activitats/100-cims/cim/puig-de-la-cometa/" TargetMode="External" Id="rId485"/><Relationship Type="http://schemas.openxmlformats.org/officeDocument/2006/relationships/hyperlink" Target="https://www.google.com/maps/search/?api=1&amp;query=42.617210,1.959300" TargetMode="External" Id="rId486"/><Relationship Type="http://schemas.openxmlformats.org/officeDocument/2006/relationships/hyperlink" Target="https://www.feec.cat/activitats/100-cims/cim/cambra-dase/" TargetMode="External" Id="rId487"/><Relationship Type="http://schemas.openxmlformats.org/officeDocument/2006/relationships/hyperlink" Target="https://www.google.com/maps/search/?api=1&amp;query=42.450880,2.131260" TargetMode="External" Id="rId488"/><Relationship Type="http://schemas.openxmlformats.org/officeDocument/2006/relationships/hyperlink" Target="https://www.feec.cat/activitats/100-cims/cim/pic-de-font-freda/" TargetMode="External" Id="rId489"/><Relationship Type="http://schemas.openxmlformats.org/officeDocument/2006/relationships/hyperlink" Target="https://www.google.com/maps/search/?api=1&amp;query=42.536350,1.794990" TargetMode="External" Id="rId490"/><Relationship Type="http://schemas.openxmlformats.org/officeDocument/2006/relationships/hyperlink" Target="https://www.feec.cat/activitats/100-cims/cim/pic-dels-pedrons/" TargetMode="External" Id="rId491"/><Relationship Type="http://schemas.openxmlformats.org/officeDocument/2006/relationships/hyperlink" Target="https://www.google.com/maps/search/?api=1&amp;query=42.531510,1.752270" TargetMode="External" Id="rId492"/><Relationship Type="http://schemas.openxmlformats.org/officeDocument/2006/relationships/hyperlink" Target="https://www.feec.cat/activitats/100-cims/cim/puig-de-font-viva/" TargetMode="External" Id="rId493"/><Relationship Type="http://schemas.openxmlformats.org/officeDocument/2006/relationships/hyperlink" Target="https://www.google.com/maps/search/?api=1&amp;query=42.569140,1.879620" TargetMode="External" Id="rId494"/><Relationship Type="http://schemas.openxmlformats.org/officeDocument/2006/relationships/hyperlink" Target="https://www.feec.cat/activitats/100-cims/cim/puig-de-la-grava/" TargetMode="External" Id="rId495"/><Relationship Type="http://schemas.openxmlformats.org/officeDocument/2006/relationships/hyperlink" Target="https://www.google.com/maps/search/?api=1&amp;query=42.604850,1.933480" TargetMode="External" Id="rId496"/><Relationship Type="http://schemas.openxmlformats.org/officeDocument/2006/relationships/hyperlink" Target="https://www.feec.cat/activitats/100-cims/cim/el-punxo/" TargetMode="External" Id="rId497"/><Relationship Type="http://schemas.openxmlformats.org/officeDocument/2006/relationships/hyperlink" Target="https://www.google.com/maps/search/?api=1&amp;query=42.530580,1.854640" TargetMode="External" Id="rId498"/><Relationship Type="http://schemas.openxmlformats.org/officeDocument/2006/relationships/hyperlink" Target="https://www.feec.cat/activitats/100-cims/cim/puig-de-dorria/" TargetMode="External" Id="rId499"/><Relationship Type="http://schemas.openxmlformats.org/officeDocument/2006/relationships/hyperlink" Target="https://www.google.com/maps/search/?api=1&amp;query=42.361770,2.084660" TargetMode="External" Id="rId500"/><Relationship Type="http://schemas.openxmlformats.org/officeDocument/2006/relationships/hyperlink" Target="https://www.feec.cat/activitats/100-cims/cim/pic-dels-moros/" TargetMode="External" Id="rId501"/><Relationship Type="http://schemas.openxmlformats.org/officeDocument/2006/relationships/hyperlink" Target="https://www.google.com/maps/search/?api=1&amp;query=42.513180,1.991000" TargetMode="External" Id="rId502"/><Relationship Type="http://schemas.openxmlformats.org/officeDocument/2006/relationships/hyperlink" Target="https://www.feec.cat/activitats/100-cims/cim/turo-de-bell-lloc/" TargetMode="External" Id="rId503"/><Relationship Type="http://schemas.openxmlformats.org/officeDocument/2006/relationships/hyperlink" Target="https://www.google.com/maps/search/?api=1&amp;query=42.483280,1.922180" TargetMode="External" Id="rId504"/><Relationship Type="http://schemas.openxmlformats.org/officeDocument/2006/relationships/hyperlink" Target="https://www.feec.cat/activitats/100-cims/cim/punta-del-curull/" TargetMode="External" Id="rId505"/><Relationship Type="http://schemas.openxmlformats.org/officeDocument/2006/relationships/hyperlink" Target="https://www.google.com/maps/search/?api=1&amp;query=41.355300,0.964330" TargetMode="External" Id="rId506"/><Relationship Type="http://schemas.openxmlformats.org/officeDocument/2006/relationships/hyperlink" Target="https://www.feec.cat/activitats/100-cims/cim/sant-miquel-de-montclar/" TargetMode="External" Id="rId507"/><Relationship Type="http://schemas.openxmlformats.org/officeDocument/2006/relationships/hyperlink" Target="https://www.google.com/maps/search/?api=1&amp;query=41.465730,1.345650" TargetMode="External" Id="rId508"/><Relationship Type="http://schemas.openxmlformats.org/officeDocument/2006/relationships/hyperlink" Target="https://www.feec.cat/activitats/100-cims/cim/tossal-gros-de-vallbona/" TargetMode="External" Id="rId509"/><Relationship Type="http://schemas.openxmlformats.org/officeDocument/2006/relationships/hyperlink" Target="https://www.google.com/maps/search/?api=1&amp;query=41.468860,1.112870" TargetMode="External" Id="rId510"/><Relationship Type="http://schemas.openxmlformats.org/officeDocument/2006/relationships/hyperlink" Target="https://www.feec.cat/activitats/100-cims/cim/bastiments/" TargetMode="External" Id="rId511"/><Relationship Type="http://schemas.openxmlformats.org/officeDocument/2006/relationships/hyperlink" Target="https://www.google.com/maps/search/?api=1&amp;query=42.426220,2.232860" TargetMode="External" Id="rId512"/><Relationship Type="http://schemas.openxmlformats.org/officeDocument/2006/relationships/hyperlink" Target="https://www.feec.cat/activitats/100-cims/cim/pic-de-linfern/" TargetMode="External" Id="rId513"/><Relationship Type="http://schemas.openxmlformats.org/officeDocument/2006/relationships/hyperlink" Target="https://www.google.com/maps/search/?api=1&amp;query=42.423930,2.213730" TargetMode="External" Id="rId514"/><Relationship Type="http://schemas.openxmlformats.org/officeDocument/2006/relationships/hyperlink" Target="https://www.feec.cat/activitats/100-cims/cim/noufonts/" TargetMode="External" Id="rId515"/><Relationship Type="http://schemas.openxmlformats.org/officeDocument/2006/relationships/hyperlink" Target="https://www.google.com/maps/search/?api=1&amp;query=42.424650,2.167880" TargetMode="External" Id="rId516"/><Relationship Type="http://schemas.openxmlformats.org/officeDocument/2006/relationships/hyperlink" Target="https://www.feec.cat/activitats/100-cims/cim/canigo/" TargetMode="External" Id="rId517"/><Relationship Type="http://schemas.openxmlformats.org/officeDocument/2006/relationships/hyperlink" Target="https://www.google.com/maps/search/?api=1&amp;query=42.518900,2.456560" TargetMode="External" Id="rId518"/><Relationship Type="http://schemas.openxmlformats.org/officeDocument/2006/relationships/hyperlink" Target="https://www.feec.cat/activitats/100-cims/cim/pic-de-raco-gros/" TargetMode="External" Id="rId519"/><Relationship Type="http://schemas.openxmlformats.org/officeDocument/2006/relationships/hyperlink" Target="https://www.google.com/maps/search/?api=1&amp;query=42.432220,2.187110" TargetMode="External" Id="rId520"/><Relationship Type="http://schemas.openxmlformats.org/officeDocument/2006/relationships/hyperlink" Target="https://www.feec.cat/activitats/100-cims/cim/pic-de-coma-mitjana/" TargetMode="External" Id="rId521"/><Relationship Type="http://schemas.openxmlformats.org/officeDocument/2006/relationships/hyperlink" Target="https://www.google.com/maps/search/?api=1&amp;query=42.441760,2.209610" TargetMode="External" Id="rId522"/><Relationship Type="http://schemas.openxmlformats.org/officeDocument/2006/relationships/hyperlink" Target="https://www.feec.cat/activitats/100-cims/cim/puig-de-tretzevents/" TargetMode="External" Id="rId523"/><Relationship Type="http://schemas.openxmlformats.org/officeDocument/2006/relationships/hyperlink" Target="https://www.google.com/maps/search/?api=1&amp;query=42.492100,2.468360" TargetMode="External" Id="rId524"/><Relationship Type="http://schemas.openxmlformats.org/officeDocument/2006/relationships/hyperlink" Target="https://www.feec.cat/activitats/100-cims/cim/puig-de-gallinas/" TargetMode="External" Id="rId525"/><Relationship Type="http://schemas.openxmlformats.org/officeDocument/2006/relationships/hyperlink" Target="https://www.google.com/maps/search/?api=1&amp;query=42.477780,2.215310" TargetMode="External" Id="rId526"/><Relationship Type="http://schemas.openxmlformats.org/officeDocument/2006/relationships/hyperlink" Target="https://www.feec.cat/activitats/100-cims/cim/roca-colom/" TargetMode="External" Id="rId527"/><Relationship Type="http://schemas.openxmlformats.org/officeDocument/2006/relationships/hyperlink" Target="https://www.google.com/maps/search/?api=1&amp;query=42.425150,2.318750" TargetMode="External" Id="rId528"/><Relationship Type="http://schemas.openxmlformats.org/officeDocument/2006/relationships/hyperlink" Target="https://www.feec.cat/activitats/100-cims/cim/roc-de-madres/" TargetMode="External" Id="rId529"/><Relationship Type="http://schemas.openxmlformats.org/officeDocument/2006/relationships/hyperlink" Target="https://www.google.com/maps/search/?api=1&amp;query=42.651820,2.192410" TargetMode="External" Id="rId530"/><Relationship Type="http://schemas.openxmlformats.org/officeDocument/2006/relationships/hyperlink" Target="https://www.feec.cat/activitats/100-cims/cim/pic-de-gallinassa/" TargetMode="External" Id="rId531"/><Relationship Type="http://schemas.openxmlformats.org/officeDocument/2006/relationships/hyperlink" Target="https://www.google.com/maps/search/?api=1&amp;query=42.502000,2.507170" TargetMode="External" Id="rId532"/><Relationship Type="http://schemas.openxmlformats.org/officeDocument/2006/relationships/hyperlink" Target="https://www.feec.cat/activitats/100-cims/cim/puig-de-la-collada-verda/" TargetMode="External" Id="rId533"/><Relationship Type="http://schemas.openxmlformats.org/officeDocument/2006/relationships/hyperlink" Target="https://www.google.com/maps/search/?api=1&amp;query=42.454610,2.396930" TargetMode="External" Id="rId534"/><Relationship Type="http://schemas.openxmlformats.org/officeDocument/2006/relationships/hyperlink" Target="https://www.feec.cat/activitats/100-cims/cim/puig-de-la-pelada/" TargetMode="External" Id="rId535"/><Relationship Type="http://schemas.openxmlformats.org/officeDocument/2006/relationships/hyperlink" Target="https://www.google.com/maps/search/?api=1&amp;query=42.621620,2.194760" TargetMode="External" Id="rId536"/><Relationship Type="http://schemas.openxmlformats.org/officeDocument/2006/relationships/hyperlink" Target="https://www.feec.cat/activitats/100-cims/cim/puig-de-les-tres-esteles/" TargetMode="External" Id="rId537"/><Relationship Type="http://schemas.openxmlformats.org/officeDocument/2006/relationships/hyperlink" Target="https://www.google.com/maps/search/?api=1&amp;query=42.508770,2.323220" TargetMode="External" Id="rId538"/><Relationship Type="http://schemas.openxmlformats.org/officeDocument/2006/relationships/hyperlink" Target="https://www.feec.cat/activitats/100-cims/cim/tuc-dormidor/" TargetMode="External" Id="rId539"/><Relationship Type="http://schemas.openxmlformats.org/officeDocument/2006/relationships/hyperlink" Target="https://www.google.com/maps/search/?api=1&amp;query=42.708580,2.266140" TargetMode="External" Id="rId540"/><Relationship Type="http://schemas.openxmlformats.org/officeDocument/2006/relationships/hyperlink" Target="https://www.feec.cat/activitats/100-cims/cim/puig-de-lestella/" TargetMode="External" Id="rId541"/><Relationship Type="http://schemas.openxmlformats.org/officeDocument/2006/relationships/hyperlink" Target="https://www.google.com/maps/search/?api=1&amp;query=42.514680,2.553560" TargetMode="External" Id="rId542"/><Relationship Type="http://schemas.openxmlformats.org/officeDocument/2006/relationships/hyperlink" Target="https://www.feec.cat/activitats/100-cims/cim/santa-anna-dels-quatre-termes/" TargetMode="External" Id="rId543"/><Relationship Type="http://schemas.openxmlformats.org/officeDocument/2006/relationships/hyperlink" Target="https://www.google.com/maps/search/?api=1&amp;query=42.565320,2.561280" TargetMode="External" Id="rId544"/><Relationship Type="http://schemas.openxmlformats.org/officeDocument/2006/relationships/hyperlink" Target="https://www.feec.cat/activitats/100-cims/cim/torre-de-goa/" TargetMode="External" Id="rId545"/><Relationship Type="http://schemas.openxmlformats.org/officeDocument/2006/relationships/hyperlink" Target="https://www.google.com/maps/search/?api=1&amp;query=42.522670,2.377510" TargetMode="External" Id="rId546"/><Relationship Type="http://schemas.openxmlformats.org/officeDocument/2006/relationships/hyperlink" Target="https://www.feec.cat/activitats/100-cims/cim/roca-gelera/" TargetMode="External" Id="rId547"/><Relationship Type="http://schemas.openxmlformats.org/officeDocument/2006/relationships/hyperlink" Target="https://www.google.com/maps/search/?api=1&amp;query=42.685110,2.437710" TargetMode="External" Id="rId548"/><Relationship Type="http://schemas.openxmlformats.org/officeDocument/2006/relationships/hyperlink" Target="https://www.feec.cat/activitats/100-cims/cim/punta-del-general/" TargetMode="External" Id="rId549"/><Relationship Type="http://schemas.openxmlformats.org/officeDocument/2006/relationships/hyperlink" Target="https://www.google.com/maps/search/?api=1&amp;query=41.341430,0.878150" TargetMode="External" Id="rId550"/><Relationship Type="http://schemas.openxmlformats.org/officeDocument/2006/relationships/hyperlink" Target="https://www.feec.cat/activitats/100-cims/cim/els-bessons/" TargetMode="External" Id="rId551"/><Relationship Type="http://schemas.openxmlformats.org/officeDocument/2006/relationships/hyperlink" Target="https://www.google.com/maps/search/?api=1&amp;query=41.466560,0.847130" TargetMode="External" Id="rId552"/><Relationship Type="http://schemas.openxmlformats.org/officeDocument/2006/relationships/hyperlink" Target="https://www.feec.cat/activitats/100-cims/cim/comanegra/" TargetMode="External" Id="rId553"/><Relationship Type="http://schemas.openxmlformats.org/officeDocument/2006/relationships/hyperlink" Target="https://www.google.com/maps/search/?api=1&amp;query=42.333310,2.527760" TargetMode="External" Id="rId554"/><Relationship Type="http://schemas.openxmlformats.org/officeDocument/2006/relationships/hyperlink" Target="https://www.feec.cat/activitats/100-cims/cim/puigsacalm/" TargetMode="External" Id="rId555"/><Relationship Type="http://schemas.openxmlformats.org/officeDocument/2006/relationships/hyperlink" Target="https://www.google.com/maps/search/?api=1&amp;query=42.125180,2.387890" TargetMode="External" Id="rId556"/><Relationship Type="http://schemas.openxmlformats.org/officeDocument/2006/relationships/hyperlink" Target="https://www.feec.cat/activitats/100-cims/cim/puig-cubell/" TargetMode="External" Id="rId557"/><Relationship Type="http://schemas.openxmlformats.org/officeDocument/2006/relationships/hyperlink" Target="https://www.google.com/maps/search/?api=1&amp;query=42.137670,2.350880" TargetMode="External" Id="rId558"/><Relationship Type="http://schemas.openxmlformats.org/officeDocument/2006/relationships/hyperlink" Target="https://www.feec.cat/activitats/100-cims/cim/cabrera/" TargetMode="External" Id="rId559"/><Relationship Type="http://schemas.openxmlformats.org/officeDocument/2006/relationships/hyperlink" Target="https://www.google.com/maps/search/?api=1&amp;query=42.076000,2.407270" TargetMode="External" Id="rId560"/><Relationship Type="http://schemas.openxmlformats.org/officeDocument/2006/relationships/hyperlink" Target="https://www.feec.cat/activitats/100-cims/cim/puig-ou/" TargetMode="External" Id="rId561"/><Relationship Type="http://schemas.openxmlformats.org/officeDocument/2006/relationships/hyperlink" Target="https://www.google.com/maps/search/?api=1&amp;query=42.284130,2.427760" TargetMode="External" Id="rId562"/><Relationship Type="http://schemas.openxmlformats.org/officeDocument/2006/relationships/hyperlink" Target="https://www.feec.cat/activitats/100-cims/cim/montmajor/" TargetMode="External" Id="rId563"/><Relationship Type="http://schemas.openxmlformats.org/officeDocument/2006/relationships/hyperlink" Target="https://www.google.com/maps/search/?api=1&amp;query=42.268780,2.483050" TargetMode="External" Id="rId564"/><Relationship Type="http://schemas.openxmlformats.org/officeDocument/2006/relationships/hyperlink" Target="https://www.feec.cat/activitats/100-cims/cim/puigsallanca/" TargetMode="External" Id="rId565"/><Relationship Type="http://schemas.openxmlformats.org/officeDocument/2006/relationships/hyperlink" Target="https://www.google.com/maps/search/?api=1&amp;query=42.115070,2.581470" TargetMode="External" Id="rId566"/><Relationship Type="http://schemas.openxmlformats.org/officeDocument/2006/relationships/hyperlink" Target="https://www.feec.cat/activitats/100-cims/cim/roca-lladre/" TargetMode="External" Id="rId567"/><Relationship Type="http://schemas.openxmlformats.org/officeDocument/2006/relationships/hyperlink" Target="https://www.google.com/maps/search/?api=1&amp;query=42.136520,2.498130" TargetMode="External" Id="rId568"/><Relationship Type="http://schemas.openxmlformats.org/officeDocument/2006/relationships/hyperlink" Target="https://www.feec.cat/activitats/100-cims/cim/sant-miquel-del-mont/" TargetMode="External" Id="rId569"/><Relationship Type="http://schemas.openxmlformats.org/officeDocument/2006/relationships/hyperlink" Target="https://www.google.com/maps/search/?api=1&amp;query=42.197880,2.446640" TargetMode="External" Id="rId570"/><Relationship Type="http://schemas.openxmlformats.org/officeDocument/2006/relationships/hyperlink" Target="https://www.feec.cat/activitats/100-cims/cim/volca-del-croscat/" TargetMode="External" Id="rId571"/><Relationship Type="http://schemas.openxmlformats.org/officeDocument/2006/relationships/hyperlink" Target="https://www.google.com/maps/search/?api=1&amp;query=42.153990,2.536070" TargetMode="External" Id="rId572"/><Relationship Type="http://schemas.openxmlformats.org/officeDocument/2006/relationships/hyperlink" Target="https://www.feec.cat/activitats/100-cims/cim/sant-roc/" TargetMode="External" Id="rId573"/><Relationship Type="http://schemas.openxmlformats.org/officeDocument/2006/relationships/hyperlink" Target="https://www.google.com/maps/search/?api=1&amp;query=42.017490,2.661900" TargetMode="External" Id="rId574"/><Relationship Type="http://schemas.openxmlformats.org/officeDocument/2006/relationships/hyperlink" Target="https://www.feec.cat/activitats/100-cims/cim/puig-cadiretes/" TargetMode="External" Id="rId575"/><Relationship Type="http://schemas.openxmlformats.org/officeDocument/2006/relationships/hyperlink" Target="https://www.google.com/maps/search/?api=1&amp;query=41.757330,2.928210" TargetMode="External" Id="rId576"/><Relationship Type="http://schemas.openxmlformats.org/officeDocument/2006/relationships/hyperlink" Target="https://www.feec.cat/activitats/100-cims/cim/sant-grau/" TargetMode="External" Id="rId577"/><Relationship Type="http://schemas.openxmlformats.org/officeDocument/2006/relationships/hyperlink" Target="https://www.google.com/maps/search/?api=1&amp;query=41.992440,2.715110" TargetMode="External" Id="rId578"/><Relationship Type="http://schemas.openxmlformats.org/officeDocument/2006/relationships/hyperlink" Target="https://www.feec.cat/activitats/100-cims/cim/els-angels/" TargetMode="External" Id="rId579"/><Relationship Type="http://schemas.openxmlformats.org/officeDocument/2006/relationships/hyperlink" Target="https://www.google.com/maps/search/?api=1&amp;query=41.984800,2.908630" TargetMode="External" Id="rId580"/><Relationship Type="http://schemas.openxmlformats.org/officeDocument/2006/relationships/hyperlink" Target="https://www.feec.cat/activitats/100-cims/cim/montigalar/" TargetMode="External" Id="rId581"/><Relationship Type="http://schemas.openxmlformats.org/officeDocument/2006/relationships/hyperlink" Target="https://www.google.com/maps/search/?api=1&amp;query=41.963050,2.924640" TargetMode="External" Id="rId582"/><Relationship Type="http://schemas.openxmlformats.org/officeDocument/2006/relationships/hyperlink" Target="https://www.feec.cat/activitats/100-cims/cim/castell-de-sant-miquel/" TargetMode="External" Id="rId583"/><Relationship Type="http://schemas.openxmlformats.org/officeDocument/2006/relationships/hyperlink" Target="https://www.google.com/maps/search/?api=1&amp;query=42.006900,2.862090" TargetMode="External" Id="rId584"/><Relationship Type="http://schemas.openxmlformats.org/officeDocument/2006/relationships/hyperlink" Target="https://www.feec.cat/activitats/100-cims/cim/castell-de-lluca/" TargetMode="External" Id="rId585"/><Relationship Type="http://schemas.openxmlformats.org/officeDocument/2006/relationships/hyperlink" Target="https://www.google.com/maps/search/?api=1&amp;query=42.054580,2.040230" TargetMode="External" Id="rId586"/><Relationship Type="http://schemas.openxmlformats.org/officeDocument/2006/relationships/hyperlink" Target="https://www.feec.cat/activitats/100-cims/cim/montalt/" TargetMode="External" Id="rId587"/><Relationship Type="http://schemas.openxmlformats.org/officeDocument/2006/relationships/hyperlink" Target="https://www.google.com/maps/search/?api=1&amp;query=41.604130,2.496320" TargetMode="External" Id="rId588"/><Relationship Type="http://schemas.openxmlformats.org/officeDocument/2006/relationships/hyperlink" Target="https://www.feec.cat/activitats/100-cims/cim/turo-den-galzeran-o-den-mates/" TargetMode="External" Id="rId589"/><Relationship Type="http://schemas.openxmlformats.org/officeDocument/2006/relationships/hyperlink" Target="https://www.google.com/maps/search/?api=1&amp;query=41.504690,2.266640" TargetMode="External" Id="rId590"/><Relationship Type="http://schemas.openxmlformats.org/officeDocument/2006/relationships/hyperlink" Target="https://www.feec.cat/activitats/100-cims/cim/castell-de-burriac/" TargetMode="External" Id="rId591"/><Relationship Type="http://schemas.openxmlformats.org/officeDocument/2006/relationships/hyperlink" Target="https://www.google.com/maps/search/?api=1&amp;query=41.537460,2.387340" TargetMode="External" Id="rId592"/><Relationship Type="http://schemas.openxmlformats.org/officeDocument/2006/relationships/hyperlink" Target="https://www.feec.cat/activitats/100-cims/cim/montbarbat/" TargetMode="External" Id="rId593"/><Relationship Type="http://schemas.openxmlformats.org/officeDocument/2006/relationships/hyperlink" Target="https://www.google.com/maps/search/?api=1&amp;query=41.735510,2.776660" TargetMode="External" Id="rId594"/><Relationship Type="http://schemas.openxmlformats.org/officeDocument/2006/relationships/hyperlink" Target="https://www.feec.cat/activitats/100-cims/cim/pedracastell-o-creu-de-canet/" TargetMode="External" Id="rId595"/><Relationship Type="http://schemas.openxmlformats.org/officeDocument/2006/relationships/hyperlink" Target="https://www.google.com/maps/search/?api=1&amp;query=41.608880,2.573680" TargetMode="External" Id="rId596"/><Relationship Type="http://schemas.openxmlformats.org/officeDocument/2006/relationships/hyperlink" Target="https://www.feec.cat/activitats/100-cims/cim/montpalau/" TargetMode="External" Id="rId597"/><Relationship Type="http://schemas.openxmlformats.org/officeDocument/2006/relationships/hyperlink" Target="https://www.google.com/maps/search/?api=1&amp;query=41.642220,2.670390" TargetMode="External" Id="rId598"/><Relationship Type="http://schemas.openxmlformats.org/officeDocument/2006/relationships/hyperlink" Target="https://www.feec.cat/activitats/100-cims/cim/turo-donofre-arnau/" TargetMode="External" Id="rId599"/><Relationship Type="http://schemas.openxmlformats.org/officeDocument/2006/relationships/hyperlink" Target="https://www.google.com/maps/search/?api=1&amp;query=41.554580,2.469030" TargetMode="External" Id="rId600"/><Relationship Type="http://schemas.openxmlformats.org/officeDocument/2006/relationships/hyperlink" Target="https://www.feec.cat/activitats/100-cims/cim/turo-de-montgat/" TargetMode="External" Id="rId601"/><Relationship Type="http://schemas.openxmlformats.org/officeDocument/2006/relationships/hyperlink" Target="https://www.google.com/maps/search/?api=1&amp;query=41.465890,2.278680" TargetMode="External" Id="rId602"/><Relationship Type="http://schemas.openxmlformats.org/officeDocument/2006/relationships/hyperlink" Target="https://www.feec.cat/activitats/100-cims/cim/turo-de-bellver/" TargetMode="External" Id="rId603"/><Relationship Type="http://schemas.openxmlformats.org/officeDocument/2006/relationships/hyperlink" Target="https://www.google.com/maps/search/?api=1&amp;query=41.847150,2.171540" TargetMode="External" Id="rId604"/><Relationship Type="http://schemas.openxmlformats.org/officeDocument/2006/relationships/hyperlink" Target="https://www.feec.cat/activitats/100-cims/cim/puig-de-la-caritat/" TargetMode="External" Id="rId605"/><Relationship Type="http://schemas.openxmlformats.org/officeDocument/2006/relationships/hyperlink" Target="https://www.google.com/maps/search/?api=1&amp;query=41.875800,2.108830" TargetMode="External" Id="rId606"/><Relationship Type="http://schemas.openxmlformats.org/officeDocument/2006/relationships/hyperlink" Target="https://www.feec.cat/activitats/100-cims/cim/codol-del-castellar/" TargetMode="External" Id="rId607"/><Relationship Type="http://schemas.openxmlformats.org/officeDocument/2006/relationships/hyperlink" Target="https://www.google.com/maps/search/?api=1&amp;query=41.740940,2.059580" TargetMode="External" Id="rId608"/><Relationship Type="http://schemas.openxmlformats.org/officeDocument/2006/relationships/hyperlink" Target="https://www.feec.cat/activitats/100-cims/cim/tossal-dels-tres-reis/" TargetMode="External" Id="rId609"/><Relationship Type="http://schemas.openxmlformats.org/officeDocument/2006/relationships/hyperlink" Target="https://www.google.com/maps/search/?api=1&amp;query=40.732790,0.170230" TargetMode="External" Id="rId610"/><Relationship Type="http://schemas.openxmlformats.org/officeDocument/2006/relationships/hyperlink" Target="https://www.feec.cat/activitats/100-cims/cim/el-negrell/" TargetMode="External" Id="rId611"/><Relationship Type="http://schemas.openxmlformats.org/officeDocument/2006/relationships/hyperlink" Target="https://www.google.com/maps/search/?api=1&amp;query=40.734160,0.227330" TargetMode="External" Id="rId612"/><Relationship Type="http://schemas.openxmlformats.org/officeDocument/2006/relationships/hyperlink" Target="https://www.feec.cat/activitats/100-cims/cim/la-portella-del-pinell/" TargetMode="External" Id="rId613"/><Relationship Type="http://schemas.openxmlformats.org/officeDocument/2006/relationships/hyperlink" Target="https://www.google.com/maps/search/?api=1&amp;query=40.712780,0.306420" TargetMode="External" Id="rId614"/><Relationship Type="http://schemas.openxmlformats.org/officeDocument/2006/relationships/hyperlink" Target="https://www.feec.cat/activitats/100-cims/cim/torreta-del-montsia/" TargetMode="External" Id="rId615"/><Relationship Type="http://schemas.openxmlformats.org/officeDocument/2006/relationships/hyperlink" Target="https://www.google.com/maps/search/?api=1&amp;query=40.613640,0.530330" TargetMode="External" Id="rId616"/><Relationship Type="http://schemas.openxmlformats.org/officeDocument/2006/relationships/hyperlink" Target="https://www.feec.cat/activitats/100-cims/cim/els-quatre-mollons/" TargetMode="External" Id="rId617"/><Relationship Type="http://schemas.openxmlformats.org/officeDocument/2006/relationships/hyperlink" Target="https://www.google.com/maps/search/?api=1&amp;query=40.643030,0.561880" TargetMode="External" Id="rId618"/><Relationship Type="http://schemas.openxmlformats.org/officeDocument/2006/relationships/hyperlink" Target="https://www.feec.cat/activitats/100-cims/cim/la-cogula/" TargetMode="External" Id="rId619"/><Relationship Type="http://schemas.openxmlformats.org/officeDocument/2006/relationships/hyperlink" Target="https://www.google.com/maps/search/?api=1&amp;query=40.577230,0.482470" TargetMode="External" Id="rId620"/><Relationship Type="http://schemas.openxmlformats.org/officeDocument/2006/relationships/hyperlink" Target="https://www.feec.cat/activitats/100-cims/cim/el-montsianell/" TargetMode="External" Id="rId621"/><Relationship Type="http://schemas.openxmlformats.org/officeDocument/2006/relationships/hyperlink" Target="https://www.google.com/maps/search/?api=1&amp;query=40.683020,0.555600" TargetMode="External" Id="rId622"/><Relationship Type="http://schemas.openxmlformats.org/officeDocument/2006/relationships/hyperlink" Target="https://www.feec.cat/activitats/100-cims/cim/penya-sant-alis/" TargetMode="External" Id="rId623"/><Relationship Type="http://schemas.openxmlformats.org/officeDocument/2006/relationships/hyperlink" Target="https://www.google.com/maps/search/?api=1&amp;query=42.039860,0.766570" TargetMode="External" Id="rId624"/><Relationship Type="http://schemas.openxmlformats.org/officeDocument/2006/relationships/hyperlink" Target="https://www.feec.cat/activitats/100-cims/cim/tossal-de-mirapallars/" TargetMode="External" Id="rId625"/><Relationship Type="http://schemas.openxmlformats.org/officeDocument/2006/relationships/hyperlink" Target="https://www.google.com/maps/search/?api=1&amp;query=42.021070,0.959030" TargetMode="External" Id="rId626"/><Relationship Type="http://schemas.openxmlformats.org/officeDocument/2006/relationships/hyperlink" Target="https://www.feec.cat/activitats/100-cims/cim/lo-peladet/" TargetMode="External" Id="rId627"/><Relationship Type="http://schemas.openxmlformats.org/officeDocument/2006/relationships/hyperlink" Target="https://www.google.com/maps/search/?api=1&amp;query=42.026270,0.912400" TargetMode="External" Id="rId628"/><Relationship Type="http://schemas.openxmlformats.org/officeDocument/2006/relationships/hyperlink" Target="https://www.feec.cat/activitats/100-cims/cim/sant-mamet/" TargetMode="External" Id="rId629"/><Relationship Type="http://schemas.openxmlformats.org/officeDocument/2006/relationships/hyperlink" Target="https://www.google.com/maps/search/?api=1&amp;query=41.977820,0.941310" TargetMode="External" Id="rId630"/><Relationship Type="http://schemas.openxmlformats.org/officeDocument/2006/relationships/hyperlink" Target="https://www.feec.cat/activitats/100-cims/cim/roca-roja/" TargetMode="External" Id="rId631"/><Relationship Type="http://schemas.openxmlformats.org/officeDocument/2006/relationships/hyperlink" Target="https://www.google.com/maps/search/?api=1&amp;query=42.072210,1.100160" TargetMode="External" Id="rId632"/><Relationship Type="http://schemas.openxmlformats.org/officeDocument/2006/relationships/hyperlink" Target="https://www.feec.cat/activitats/100-cims/cim/puig-de-milla/" TargetMode="External" Id="rId633"/><Relationship Type="http://schemas.openxmlformats.org/officeDocument/2006/relationships/hyperlink" Target="https://www.google.com/maps/search/?api=1&amp;query=42.001720,0.672190" TargetMode="External" Id="rId634"/><Relationship Type="http://schemas.openxmlformats.org/officeDocument/2006/relationships/hyperlink" Target="https://www.feec.cat/activitats/100-cims/cim/punta-dossos/" TargetMode="External" Id="rId635"/><Relationship Type="http://schemas.openxmlformats.org/officeDocument/2006/relationships/hyperlink" Target="https://www.google.com/maps/search/?api=1&amp;query=41.949800,0.632400" TargetMode="External" Id="rId636"/><Relationship Type="http://schemas.openxmlformats.org/officeDocument/2006/relationships/hyperlink" Target="https://www.feec.cat/activitats/100-cims/cim/el-cogullo/" TargetMode="External" Id="rId637"/><Relationship Type="http://schemas.openxmlformats.org/officeDocument/2006/relationships/hyperlink" Target="https://www.google.com/maps/search/?api=1&amp;query=41.998180,1.039180" TargetMode="External" Id="rId638"/><Relationship Type="http://schemas.openxmlformats.org/officeDocument/2006/relationships/hyperlink" Target="https://www.feec.cat/activitats/100-cims/cim/los-picons/" TargetMode="External" Id="rId639"/><Relationship Type="http://schemas.openxmlformats.org/officeDocument/2006/relationships/hyperlink" Target="https://www.google.com/maps/search/?api=1&amp;query=41.925840,0.641570" TargetMode="External" Id="rId640"/><Relationship Type="http://schemas.openxmlformats.org/officeDocument/2006/relationships/hyperlink" Target="https://www.feec.cat/activitats/100-cims/cim/pala-alta/" TargetMode="External" Id="rId641"/><Relationship Type="http://schemas.openxmlformats.org/officeDocument/2006/relationships/hyperlink" Target="https://www.google.com/maps/search/?api=1&amp;query=41.896290,0.836350" TargetMode="External" Id="rId642"/><Relationship Type="http://schemas.openxmlformats.org/officeDocument/2006/relationships/hyperlink" Target="https://www.feec.cat/activitats/100-cims/cim/malera/" TargetMode="External" Id="rId643"/><Relationship Type="http://schemas.openxmlformats.org/officeDocument/2006/relationships/hyperlink" Target="https://www.google.com/maps/search/?api=1&amp;query=41.929900,0.720440" TargetMode="External" Id="rId644"/><Relationship Type="http://schemas.openxmlformats.org/officeDocument/2006/relationships/hyperlink" Target="https://www.feec.cat/activitats/100-cims/cim/montmagastre/" TargetMode="External" Id="rId645"/><Relationship Type="http://schemas.openxmlformats.org/officeDocument/2006/relationships/hyperlink" Target="https://www.google.com/maps/search/?api=1&amp;query=41.976560,1.128750" TargetMode="External" Id="rId646"/><Relationship Type="http://schemas.openxmlformats.org/officeDocument/2006/relationships/hyperlink" Target="https://www.feec.cat/activitats/100-cims/cim/tossal-de-sant-jordi/" TargetMode="External" Id="rId647"/><Relationship Type="http://schemas.openxmlformats.org/officeDocument/2006/relationships/hyperlink" Target="https://www.google.com/maps/search/?api=1&amp;query=41.899050,0.892470" TargetMode="External" Id="rId648"/><Relationship Type="http://schemas.openxmlformats.org/officeDocument/2006/relationships/hyperlink" Target="https://www.feec.cat/activitats/100-cims/cim/mont-roig-cim-de-les-altures/" TargetMode="External" Id="rId649"/><Relationship Type="http://schemas.openxmlformats.org/officeDocument/2006/relationships/hyperlink" Target="https://www.google.com/maps/search/?api=1&amp;query=41.902990,0.878650" TargetMode="External" Id="rId650"/><Relationship Type="http://schemas.openxmlformats.org/officeDocument/2006/relationships/hyperlink" Target="https://www.feec.cat/activitats/100-cims/cim/torre-de-les-conclues/" TargetMode="External" Id="rId651"/><Relationship Type="http://schemas.openxmlformats.org/officeDocument/2006/relationships/hyperlink" Target="https://www.google.com/maps/search/?api=1&amp;query=42.016110,0.658730" TargetMode="External" Id="rId652"/><Relationship Type="http://schemas.openxmlformats.org/officeDocument/2006/relationships/hyperlink" Target="https://www.feec.cat/activitats/100-cims/cim/puig-de-grialo/" TargetMode="External" Id="rId653"/><Relationship Type="http://schemas.openxmlformats.org/officeDocument/2006/relationships/hyperlink" Target="https://www.google.com/maps/search/?api=1&amp;query=41.901750,1.108780" TargetMode="External" Id="rId654"/><Relationship Type="http://schemas.openxmlformats.org/officeDocument/2006/relationships/hyperlink" Target="https://www.feec.cat/activitats/100-cims/cim/munt-de-montsonis/" TargetMode="External" Id="rId655"/><Relationship Type="http://schemas.openxmlformats.org/officeDocument/2006/relationships/hyperlink" Target="https://www.google.com/maps/search/?api=1&amp;query=41.885770,1.014050" TargetMode="External" Id="rId656"/><Relationship Type="http://schemas.openxmlformats.org/officeDocument/2006/relationships/hyperlink" Target="https://www.feec.cat/activitats/100-cims/cim/montero/" TargetMode="External" Id="rId657"/><Relationship Type="http://schemas.openxmlformats.org/officeDocument/2006/relationships/hyperlink" Target="https://www.google.com/maps/search/?api=1&amp;query=41.862860,0.853000" TargetMode="External" Id="rId658"/><Relationship Type="http://schemas.openxmlformats.org/officeDocument/2006/relationships/hyperlink" Target="https://www.feec.cat/activitats/100-cims/cim/tossal-de-mormur/" TargetMode="External" Id="rId659"/><Relationship Type="http://schemas.openxmlformats.org/officeDocument/2006/relationships/hyperlink" Target="https://www.google.com/maps/search/?api=1&amp;query=41.779940,0.749770" TargetMode="External" Id="rId660"/><Relationship Type="http://schemas.openxmlformats.org/officeDocument/2006/relationships/hyperlink" Target="https://www.feec.cat/activitats/100-cims/cim/matagalls/" TargetMode="External" Id="rId661"/><Relationship Type="http://schemas.openxmlformats.org/officeDocument/2006/relationships/hyperlink" Target="https://www.google.com/maps/search/?api=1&amp;query=41.808820,2.382620" TargetMode="External" Id="rId662"/><Relationship Type="http://schemas.openxmlformats.org/officeDocument/2006/relationships/hyperlink" Target="https://www.feec.cat/activitats/100-cims/cim/santa-magdalena-de-cambrils/" TargetMode="External" Id="rId663"/><Relationship Type="http://schemas.openxmlformats.org/officeDocument/2006/relationships/hyperlink" Target="https://www.google.com/maps/search/?api=1&amp;query=42.168990,2.340270" TargetMode="External" Id="rId664"/><Relationship Type="http://schemas.openxmlformats.org/officeDocument/2006/relationships/hyperlink" Target="https://www.feec.cat/activitats/100-cims/cim/castell-de-milany/" TargetMode="External" Id="rId665"/><Relationship Type="http://schemas.openxmlformats.org/officeDocument/2006/relationships/hyperlink" Target="https://www.google.com/maps/search/?api=1&amp;query=42.165550,2.289600" TargetMode="External" Id="rId666"/><Relationship Type="http://schemas.openxmlformats.org/officeDocument/2006/relationships/hyperlink" Target="https://www.feec.cat/activitats/100-cims/cim/puig-de-les-aligues/" TargetMode="External" Id="rId667"/><Relationship Type="http://schemas.openxmlformats.org/officeDocument/2006/relationships/hyperlink" Target="https://www.google.com/maps/search/?api=1&amp;query=42.109020,2.349320" TargetMode="External" Id="rId668"/><Relationship Type="http://schemas.openxmlformats.org/officeDocument/2006/relationships/hyperlink" Target="https://www.feec.cat/activitats/100-cims/cim/turo-del-pou-den-sala/" TargetMode="External" Id="rId669"/><Relationship Type="http://schemas.openxmlformats.org/officeDocument/2006/relationships/hyperlink" Target="https://www.google.com/maps/search/?api=1&amp;query=41.832590,2.347410" TargetMode="External" Id="rId670"/><Relationship Type="http://schemas.openxmlformats.org/officeDocument/2006/relationships/hyperlink" Target="https://www.feec.cat/activitats/100-cims/cim/bellmunt/" TargetMode="External" Id="rId671"/><Relationship Type="http://schemas.openxmlformats.org/officeDocument/2006/relationships/hyperlink" Target="https://www.google.com/maps/search/?api=1&amp;query=42.101540,2.293750" TargetMode="External" Id="rId672"/><Relationship Type="http://schemas.openxmlformats.org/officeDocument/2006/relationships/hyperlink" Target="https://www.feec.cat/activitats/100-cims/cim/rocallarga/" TargetMode="External" Id="rId673"/><Relationship Type="http://schemas.openxmlformats.org/officeDocument/2006/relationships/hyperlink" Target="https://www.google.com/maps/search/?api=1&amp;query=42.009810,2.445600" TargetMode="External" Id="rId674"/><Relationship Type="http://schemas.openxmlformats.org/officeDocument/2006/relationships/hyperlink" Target="https://www.feec.cat/activitats/100-cims/cim/els-munts/" TargetMode="External" Id="rId675"/><Relationship Type="http://schemas.openxmlformats.org/officeDocument/2006/relationships/hyperlink" Target="https://www.google.com/maps/search/?api=1&amp;query=42.078730,2.153280" TargetMode="External" Id="rId676"/><Relationship Type="http://schemas.openxmlformats.org/officeDocument/2006/relationships/hyperlink" Target="https://www.feec.cat/activitats/100-cims/cim/castell-de-besora/" TargetMode="External" Id="rId677"/><Relationship Type="http://schemas.openxmlformats.org/officeDocument/2006/relationships/hyperlink" Target="https://www.google.com/maps/search/?api=1&amp;query=42.123940,2.251120" TargetMode="External" Id="rId678"/><Relationship Type="http://schemas.openxmlformats.org/officeDocument/2006/relationships/hyperlink" Target="https://www.feec.cat/activitats/100-cims/cim/lenclusa/" TargetMode="External" Id="rId679"/><Relationship Type="http://schemas.openxmlformats.org/officeDocument/2006/relationships/hyperlink" Target="https://www.google.com/maps/search/?api=1&amp;query=41.870790,2.320940" TargetMode="External" Id="rId680"/><Relationship Type="http://schemas.openxmlformats.org/officeDocument/2006/relationships/hyperlink" Target="https://www.feec.cat/activitats/100-cims/cim/sant-marti-xic-castell-de-voltrega/" TargetMode="External" Id="rId681"/><Relationship Type="http://schemas.openxmlformats.org/officeDocument/2006/relationships/hyperlink" Target="https://www.google.com/maps/search/?api=1&amp;query=42.010250,2.206430" TargetMode="External" Id="rId682"/><Relationship Type="http://schemas.openxmlformats.org/officeDocument/2006/relationships/hyperlink" Target="https://www.feec.cat/activitats/100-cims/cim/creu-de-gurb/" TargetMode="External" Id="rId683"/><Relationship Type="http://schemas.openxmlformats.org/officeDocument/2006/relationships/hyperlink" Target="https://www.google.com/maps/search/?api=1&amp;query=41.952090,2.210460" TargetMode="External" Id="rId684"/><Relationship Type="http://schemas.openxmlformats.org/officeDocument/2006/relationships/hyperlink" Target="https://www.feec.cat/activitats/100-cims/cim/puig-del-far/" TargetMode="External" Id="rId685"/><Relationship Type="http://schemas.openxmlformats.org/officeDocument/2006/relationships/hyperlink" Target="https://www.google.com/maps/search/?api=1&amp;query=41.959630,2.376160" TargetMode="External" Id="rId686"/><Relationship Type="http://schemas.openxmlformats.org/officeDocument/2006/relationships/hyperlink" Target="https://www.feec.cat/activitats/100-cims/cim/serrat-alt/" TargetMode="External" Id="rId687"/><Relationship Type="http://schemas.openxmlformats.org/officeDocument/2006/relationships/hyperlink" Target="https://www.google.com/maps/search/?api=1&amp;query=42.080400,2.259540" TargetMode="External" Id="rId688"/><Relationship Type="http://schemas.openxmlformats.org/officeDocument/2006/relationships/hyperlink" Target="https://www.feec.cat/activitats/100-cims/cim/puig-de-la-forca/" TargetMode="External" Id="rId689"/><Relationship Type="http://schemas.openxmlformats.org/officeDocument/2006/relationships/hyperlink" Target="https://www.google.com/maps/search/?api=1&amp;query=41.981010,2.388980" TargetMode="External" Id="rId690"/><Relationship Type="http://schemas.openxmlformats.org/officeDocument/2006/relationships/hyperlink" Target="https://www.feec.cat/activitats/100-cims/cim/pic-de-peguera/" TargetMode="External" Id="rId691"/><Relationship Type="http://schemas.openxmlformats.org/officeDocument/2006/relationships/hyperlink" Target="https://www.google.com/maps/search/?api=1&amp;query=42.540540,1.011960" TargetMode="External" Id="rId692"/><Relationship Type="http://schemas.openxmlformats.org/officeDocument/2006/relationships/hyperlink" Target="https://www.feec.cat/activitats/100-cims/cim/pic-de-subenuix/" TargetMode="External" Id="rId693"/><Relationship Type="http://schemas.openxmlformats.org/officeDocument/2006/relationships/hyperlink" Target="https://www.google.com/maps/search/?api=1&amp;query=42.554950,0.979380" TargetMode="External" Id="rId694"/><Relationship Type="http://schemas.openxmlformats.org/officeDocument/2006/relationships/hyperlink" Target="https://www.feec.cat/activitats/100-cims/cim/pic-de-la-mainera/" TargetMode="External" Id="rId695"/><Relationship Type="http://schemas.openxmlformats.org/officeDocument/2006/relationships/hyperlink" Target="https://www.google.com/maps/search/?api=1&amp;query=42.524480,1.027160" TargetMode="External" Id="rId696"/><Relationship Type="http://schemas.openxmlformats.org/officeDocument/2006/relationships/hyperlink" Target="https://www.feec.cat/activitats/100-cims/cim/pic-tort/" TargetMode="External" Id="rId697"/><Relationship Type="http://schemas.openxmlformats.org/officeDocument/2006/relationships/hyperlink" Target="https://www.google.com/maps/search/?api=1&amp;query=42.533750,0.988830" TargetMode="External" Id="rId698"/><Relationship Type="http://schemas.openxmlformats.org/officeDocument/2006/relationships/hyperlink" Target="https://www.feec.cat/activitats/100-cims/cim/montsent-de-pallars/" TargetMode="External" Id="rId699"/><Relationship Type="http://schemas.openxmlformats.org/officeDocument/2006/relationships/hyperlink" Target="https://www.google.com/maps/search/?api=1&amp;query=42.490110,1.024420" TargetMode="External" Id="rId700"/><Relationship Type="http://schemas.openxmlformats.org/officeDocument/2006/relationships/hyperlink" Target="https://www.feec.cat/activitats/100-cims/cim/pic-de-filia-tossal-de-paiasso/" TargetMode="External" Id="rId701"/><Relationship Type="http://schemas.openxmlformats.org/officeDocument/2006/relationships/hyperlink" Target="https://www.google.com/maps/search/?api=1&amp;query=42.472940,0.930320" TargetMode="External" Id="rId702"/><Relationship Type="http://schemas.openxmlformats.org/officeDocument/2006/relationships/hyperlink" Target="https://www.feec.cat/activitats/100-cims/cim/pica-de-cervi/" TargetMode="External" Id="rId703"/><Relationship Type="http://schemas.openxmlformats.org/officeDocument/2006/relationships/hyperlink" Target="https://www.google.com/maps/search/?api=1&amp;query=42.452940,0.879230" TargetMode="External" Id="rId704"/><Relationship Type="http://schemas.openxmlformats.org/officeDocument/2006/relationships/hyperlink" Target="https://www.feec.cat/activitats/100-cims/cim/pic-de-llena/" TargetMode="External" Id="rId705"/><Relationship Type="http://schemas.openxmlformats.org/officeDocument/2006/relationships/hyperlink" Target="https://www.google.com/maps/search/?api=1&amp;query=42.446890,0.917920" TargetMode="External" Id="rId706"/><Relationship Type="http://schemas.openxmlformats.org/officeDocument/2006/relationships/hyperlink" Target="https://www.feec.cat/activitats/100-cims/cim/pic-de-lespada/" TargetMode="External" Id="rId707"/><Relationship Type="http://schemas.openxmlformats.org/officeDocument/2006/relationships/hyperlink" Target="https://www.google.com/maps/search/?api=1&amp;query=42.499180,0.971880" TargetMode="External" Id="rId708"/><Relationship Type="http://schemas.openxmlformats.org/officeDocument/2006/relationships/hyperlink" Target="https://www.feec.cat/activitats/100-cims/cim/tuc-de-la-cometa/" TargetMode="External" Id="rId709"/><Relationship Type="http://schemas.openxmlformats.org/officeDocument/2006/relationships/hyperlink" Target="https://www.google.com/maps/search/?api=1&amp;query=42.423700,1.033050" TargetMode="External" Id="rId710"/><Relationship Type="http://schemas.openxmlformats.org/officeDocument/2006/relationships/hyperlink" Target="https://www.feec.cat/activitats/100-cims/cim/cap-de-boumort/" TargetMode="External" Id="rId711"/><Relationship Type="http://schemas.openxmlformats.org/officeDocument/2006/relationships/hyperlink" Target="https://www.google.com/maps/search/?api=1&amp;query=42.235010,1.134680" TargetMode="External" Id="rId712"/><Relationship Type="http://schemas.openxmlformats.org/officeDocument/2006/relationships/hyperlink" Target="https://www.feec.cat/activitats/100-cims/cim/cap-de-carreu/" TargetMode="External" Id="rId713"/><Relationship Type="http://schemas.openxmlformats.org/officeDocument/2006/relationships/hyperlink" Target="https://www.google.com/maps/search/?api=1&amp;query=42.193570,1.123590" TargetMode="External" Id="rId714"/><Relationship Type="http://schemas.openxmlformats.org/officeDocument/2006/relationships/hyperlink" Target="https://www.feec.cat/activitats/100-cims/cim/pui-de-lleras/" TargetMode="External" Id="rId715"/><Relationship Type="http://schemas.openxmlformats.org/officeDocument/2006/relationships/hyperlink" Target="https://www.google.com/maps/search/?api=1&amp;query=42.269200,0.852650" TargetMode="External" Id="rId716"/><Relationship Type="http://schemas.openxmlformats.org/officeDocument/2006/relationships/hyperlink" Target="https://www.feec.cat/activitats/100-cims/cim/gallinova/" TargetMode="External" Id="rId717"/><Relationship Type="http://schemas.openxmlformats.org/officeDocument/2006/relationships/hyperlink" Target="https://www.google.com/maps/search/?api=1&amp;query=42.184720,1.078090" TargetMode="External" Id="rId718"/><Relationship Type="http://schemas.openxmlformats.org/officeDocument/2006/relationships/hyperlink" Target="https://www.feec.cat/activitats/100-cims/cim/santa-barbara-vall-fosca/" TargetMode="External" Id="rId719"/><Relationship Type="http://schemas.openxmlformats.org/officeDocument/2006/relationships/hyperlink" Target="https://www.google.com/maps/search/?api=1&amp;query=42.380800,0.923420" TargetMode="External" Id="rId720"/><Relationship Type="http://schemas.openxmlformats.org/officeDocument/2006/relationships/hyperlink" Target="https://www.feec.cat/activitats/100-cims/cim/rocalta/" TargetMode="External" Id="rId721"/><Relationship Type="http://schemas.openxmlformats.org/officeDocument/2006/relationships/hyperlink" Target="https://www.google.com/maps/search/?api=1&amp;query=42.211580,1.044510" TargetMode="External" Id="rId722"/><Relationship Type="http://schemas.openxmlformats.org/officeDocument/2006/relationships/hyperlink" Target="https://www.feec.cat/activitats/100-cims/cim/roc-de-sant-aventi/" TargetMode="External" Id="rId723"/><Relationship Type="http://schemas.openxmlformats.org/officeDocument/2006/relationships/hyperlink" Target="https://www.google.com/maps/search/?api=1&amp;query=42.307230,0.974250" TargetMode="External" Id="rId724"/><Relationship Type="http://schemas.openxmlformats.org/officeDocument/2006/relationships/hyperlink" Target="https://www.feec.cat/activitats/100-cims/cim/tossal-de-codonyac/" TargetMode="External" Id="rId725"/><Relationship Type="http://schemas.openxmlformats.org/officeDocument/2006/relationships/hyperlink" Target="https://www.google.com/maps/search/?api=1&amp;query=42.227970,0.814210" TargetMode="External" Id="rId726"/><Relationship Type="http://schemas.openxmlformats.org/officeDocument/2006/relationships/hyperlink" Target="https://www.feec.cat/activitats/100-cims/cim/sant-corneli/" TargetMode="External" Id="rId727"/><Relationship Type="http://schemas.openxmlformats.org/officeDocument/2006/relationships/hyperlink" Target="https://www.google.com/maps/search/?api=1&amp;query=42.182820,1.002790" TargetMode="External" Id="rId728"/><Relationship Type="http://schemas.openxmlformats.org/officeDocument/2006/relationships/hyperlink" Target="https://www.feec.cat/activitats/100-cims/cim/el-codo/" TargetMode="External" Id="rId729"/><Relationship Type="http://schemas.openxmlformats.org/officeDocument/2006/relationships/hyperlink" Target="https://www.google.com/maps/search/?api=1&amp;query=42.301520,0.914600" TargetMode="External" Id="rId730"/><Relationship Type="http://schemas.openxmlformats.org/officeDocument/2006/relationships/hyperlink" Target="https://www.feec.cat/activitats/100-cims/cim/montllobar/" TargetMode="External" Id="rId731"/><Relationship Type="http://schemas.openxmlformats.org/officeDocument/2006/relationships/hyperlink" Target="https://www.google.com/maps/search/?api=1&amp;query=42.146600,0.797770" TargetMode="External" Id="rId732"/><Relationship Type="http://schemas.openxmlformats.org/officeDocument/2006/relationships/hyperlink" Target="https://www.feec.cat/activitats/100-cims/cim/pica-destats/" TargetMode="External" Id="rId733"/><Relationship Type="http://schemas.openxmlformats.org/officeDocument/2006/relationships/hyperlink" Target="https://www.google.com/maps/search/?api=1&amp;query=42.666940,1.397900" TargetMode="External" Id="rId734"/><Relationship Type="http://schemas.openxmlformats.org/officeDocument/2006/relationships/hyperlink" Target="https://www.feec.cat/activitats/100-cims/cim/pic-de-sotllo/" TargetMode="External" Id="rId735"/><Relationship Type="http://schemas.openxmlformats.org/officeDocument/2006/relationships/hyperlink" Target="https://www.google.com/maps/search/?api=1&amp;query=42.668710,1.387460" TargetMode="External" Id="rId736"/><Relationship Type="http://schemas.openxmlformats.org/officeDocument/2006/relationships/hyperlink" Target="https://www.feec.cat/activitats/100-cims/cim/pic-de-canalbona/" TargetMode="External" Id="rId737"/><Relationship Type="http://schemas.openxmlformats.org/officeDocument/2006/relationships/hyperlink" Target="https://www.google.com/maps/search/?api=1&amp;query=42.656580,1.405890" TargetMode="External" Id="rId738"/><Relationship Type="http://schemas.openxmlformats.org/officeDocument/2006/relationships/hyperlink" Target="https://www.feec.cat/activitats/100-cims/cim/pic-de-baborte/" TargetMode="External" Id="rId739"/><Relationship Type="http://schemas.openxmlformats.org/officeDocument/2006/relationships/hyperlink" Target="https://www.google.com/maps/search/?api=1&amp;query=42.657460,1.367070" TargetMode="External" Id="rId740"/><Relationship Type="http://schemas.openxmlformats.org/officeDocument/2006/relationships/hyperlink" Target="https://www.feec.cat/activitats/100-cims/cim/monteixo/" TargetMode="External" Id="rId741"/><Relationship Type="http://schemas.openxmlformats.org/officeDocument/2006/relationships/hyperlink" Target="https://www.google.com/maps/search/?api=1&amp;query=42.601750,1.361650" TargetMode="External" Id="rId742"/><Relationship Type="http://schemas.openxmlformats.org/officeDocument/2006/relationships/hyperlink" Target="https://www.feec.cat/activitats/100-cims/cim/pica-roja/" TargetMode="External" Id="rId743"/><Relationship Type="http://schemas.openxmlformats.org/officeDocument/2006/relationships/hyperlink" Target="https://www.google.com/maps/search/?api=1&amp;query=42.625000,1.420410" TargetMode="External" Id="rId744"/><Relationship Type="http://schemas.openxmlformats.org/officeDocument/2006/relationships/hyperlink" Target="https://www.feec.cat/activitats/100-cims/cim/pics-de-bassiero/" TargetMode="External" Id="rId745"/><Relationship Type="http://schemas.openxmlformats.org/officeDocument/2006/relationships/hyperlink" Target="https://www.google.com/maps/search/?api=1&amp;query=42.606680,0.995370" TargetMode="External" Id="rId746"/><Relationship Type="http://schemas.openxmlformats.org/officeDocument/2006/relationships/hyperlink" Target="https://www.feec.cat/activitats/100-cims/cim/montsaliente/" TargetMode="External" Id="rId747"/><Relationship Type="http://schemas.openxmlformats.org/officeDocument/2006/relationships/hyperlink" Target="https://www.google.com/maps/search/?api=1&amp;query=42.603100,1.008690" TargetMode="External" Id="rId748"/><Relationship Type="http://schemas.openxmlformats.org/officeDocument/2006/relationships/hyperlink" Target="https://www.feec.cat/activitats/100-cims/cim/pui-de-linya/" TargetMode="External" Id="rId749"/><Relationship Type="http://schemas.openxmlformats.org/officeDocument/2006/relationships/hyperlink" Target="https://www.google.com/maps/search/?api=1&amp;query=42.565980,1.043250" TargetMode="External" Id="rId750"/><Relationship Type="http://schemas.openxmlformats.org/officeDocument/2006/relationships/hyperlink" Target="https://www.feec.cat/activitats/100-cims/cim/mont-roig/" TargetMode="External" Id="rId751"/><Relationship Type="http://schemas.openxmlformats.org/officeDocument/2006/relationships/hyperlink" Target="https://www.google.com/maps/search/?api=1&amp;query=42.710800,1.176800" TargetMode="External" Id="rId752"/><Relationship Type="http://schemas.openxmlformats.org/officeDocument/2006/relationships/hyperlink" Target="https://www.feec.cat/activitats/100-cims/cim/tuc-de-ratera/" TargetMode="External" Id="rId753"/><Relationship Type="http://schemas.openxmlformats.org/officeDocument/2006/relationships/hyperlink" Target="https://www.google.com/maps/search/?api=1&amp;query=42.601220,0.953480" TargetMode="External" Id="rId754"/><Relationship Type="http://schemas.openxmlformats.org/officeDocument/2006/relationships/hyperlink" Target="https://www.feec.cat/activitats/100-cims/cim/pic-de-gerri/" TargetMode="External" Id="rId755"/><Relationship Type="http://schemas.openxmlformats.org/officeDocument/2006/relationships/hyperlink" Target="https://www.google.com/maps/search/?api=1&amp;query=42.597530,1.394250" TargetMode="External" Id="rId756"/><Relationship Type="http://schemas.openxmlformats.org/officeDocument/2006/relationships/hyperlink" Target="https://www.feec.cat/activitats/100-cims/cim/pic-de-certascan/" TargetMode="External" Id="rId757"/><Relationship Type="http://schemas.openxmlformats.org/officeDocument/2006/relationships/hyperlink" Target="https://www.google.com/maps/search/?api=1&amp;query=42.711970,1.277720" TargetMode="External" Id="rId758"/><Relationship Type="http://schemas.openxmlformats.org/officeDocument/2006/relationships/hyperlink" Target="https://www.feec.cat/activitats/100-cims/cim/pic-de-ventolau/" TargetMode="External" Id="rId759"/><Relationship Type="http://schemas.openxmlformats.org/officeDocument/2006/relationships/hyperlink" Target="https://www.google.com/maps/search/?api=1&amp;query=42.690650,1.190420" TargetMode="External" Id="rId760"/><Relationship Type="http://schemas.openxmlformats.org/officeDocument/2006/relationships/hyperlink" Target="https://www.feec.cat/activitats/100-cims/cim/pic-de-saboredo/" TargetMode="External" Id="rId761"/><Relationship Type="http://schemas.openxmlformats.org/officeDocument/2006/relationships/hyperlink" Target="https://www.google.com/maps/search/?api=1&amp;query=42.607900,0.981020" TargetMode="External" Id="rId762"/><Relationship Type="http://schemas.openxmlformats.org/officeDocument/2006/relationships/hyperlink" Target="https://www.feec.cat/activitats/100-cims/cim/les-picardes/" TargetMode="External" Id="rId763"/><Relationship Type="http://schemas.openxmlformats.org/officeDocument/2006/relationships/hyperlink" Target="https://www.google.com/maps/search/?api=1&amp;query=42.527160,1.052680" TargetMode="External" Id="rId764"/><Relationship Type="http://schemas.openxmlformats.org/officeDocument/2006/relationships/hyperlink" Target="https://www.feec.cat/activitats/100-cims/cim/pic-de-flamisella/" TargetMode="External" Id="rId765"/><Relationship Type="http://schemas.openxmlformats.org/officeDocument/2006/relationships/hyperlink" Target="https://www.google.com/maps/search/?api=1&amp;query=42.712740,1.261400" TargetMode="External" Id="rId766"/><Relationship Type="http://schemas.openxmlformats.org/officeDocument/2006/relationships/hyperlink" Target="https://www.feec.cat/activitats/100-cims/cim/pui-de-la-bonaigua/" TargetMode="External" Id="rId767"/><Relationship Type="http://schemas.openxmlformats.org/officeDocument/2006/relationships/hyperlink" Target="https://www.google.com/maps/search/?api=1&amp;query=42.627200,1.019480" TargetMode="External" Id="rId768"/><Relationship Type="http://schemas.openxmlformats.org/officeDocument/2006/relationships/hyperlink" Target="https://www.feec.cat/activitats/100-cims/cim/pic-de-moredo/" TargetMode="External" Id="rId769"/><Relationship Type="http://schemas.openxmlformats.org/officeDocument/2006/relationships/hyperlink" Target="https://www.google.com/maps/search/?api=1&amp;query=42.718940,1.049930" TargetMode="External" Id="rId770"/><Relationship Type="http://schemas.openxmlformats.org/officeDocument/2006/relationships/hyperlink" Target="https://www.feec.cat/activitats/100-cims/cim/gran-encantat/" TargetMode="External" Id="rId771"/><Relationship Type="http://schemas.openxmlformats.org/officeDocument/2006/relationships/hyperlink" Target="https://www.google.com/maps/search/?api=1&amp;query=42.568410,1.014840" TargetMode="External" Id="rId772"/><Relationship Type="http://schemas.openxmlformats.org/officeDocument/2006/relationships/hyperlink" Target="https://www.feec.cat/activitats/100-cims/cim/cap-de-broate/" TargetMode="External" Id="rId773"/><Relationship Type="http://schemas.openxmlformats.org/officeDocument/2006/relationships/hyperlink" Target="https://www.google.com/maps/search/?api=1&amp;query=42.692370,1.364380" TargetMode="External" Id="rId774"/><Relationship Type="http://schemas.openxmlformats.org/officeDocument/2006/relationships/hyperlink" Target="https://www.feec.cat/activitats/100-cims/cim/pic-del-portarro/" TargetMode="External" Id="rId775"/><Relationship Type="http://schemas.openxmlformats.org/officeDocument/2006/relationships/hyperlink" Target="https://www.google.com/maps/search/?api=1&amp;query=42.583740,0.970150" TargetMode="External" Id="rId776"/><Relationship Type="http://schemas.openxmlformats.org/officeDocument/2006/relationships/hyperlink" Target="https://www.feec.cat/activitats/100-cims/cim/pic-de-clavera/" TargetMode="External" Id="rId777"/><Relationship Type="http://schemas.openxmlformats.org/officeDocument/2006/relationships/hyperlink" Target="https://www.google.com/maps/search/?api=1&amp;query=42.787790,1.076720" TargetMode="External" Id="rId778"/><Relationship Type="http://schemas.openxmlformats.org/officeDocument/2006/relationships/hyperlink" Target="https://www.feec.cat/activitats/100-cims/cim/lo-tesol-teso-de-son/" TargetMode="External" Id="rId779"/><Relationship Type="http://schemas.openxmlformats.org/officeDocument/2006/relationships/hyperlink" Target="https://www.google.com/maps/search/?api=1&amp;query=42.608370,1.039260" TargetMode="External" Id="rId780"/><Relationship Type="http://schemas.openxmlformats.org/officeDocument/2006/relationships/hyperlink" Target="https://www.feec.cat/activitats/100-cims/cim/tuc-de-marimanya/" TargetMode="External" Id="rId781"/><Relationship Type="http://schemas.openxmlformats.org/officeDocument/2006/relationships/hyperlink" Target="https://www.google.com/maps/search/?api=1&amp;query=42.709240,1.012330" TargetMode="External" Id="rId782"/><Relationship Type="http://schemas.openxmlformats.org/officeDocument/2006/relationships/hyperlink" Target="https://www.feec.cat/activitats/100-cims/cim/pic-de-mariola/" TargetMode="External" Id="rId783"/><Relationship Type="http://schemas.openxmlformats.org/officeDocument/2006/relationships/hyperlink" Target="https://www.google.com/maps/search/?api=1&amp;query=42.720050,1.216640" TargetMode="External" Id="rId784"/><Relationship Type="http://schemas.openxmlformats.org/officeDocument/2006/relationships/hyperlink" Target="https://www.feec.cat/activitats/100-cims/cim/tuc-de-la-llanca/" TargetMode="External" Id="rId785"/><Relationship Type="http://schemas.openxmlformats.org/officeDocument/2006/relationships/hyperlink" Target="https://www.google.com/maps/search/?api=1&amp;query=42.684060,0.990520" TargetMode="External" Id="rId786"/><Relationship Type="http://schemas.openxmlformats.org/officeDocument/2006/relationships/hyperlink" Target="https://www.feec.cat/activitats/100-cims/cim/pic-de-pilas/" TargetMode="External" Id="rId787"/><Relationship Type="http://schemas.openxmlformats.org/officeDocument/2006/relationships/hyperlink" Target="https://www.google.com/maps/search/?api=1&amp;query=42.682830,1.131510" TargetMode="External" Id="rId788"/><Relationship Type="http://schemas.openxmlformats.org/officeDocument/2006/relationships/hyperlink" Target="https://www.feec.cat/activitats/100-cims/cim/pic-de-quenca/" TargetMode="External" Id="rId789"/><Relationship Type="http://schemas.openxmlformats.org/officeDocument/2006/relationships/hyperlink" Target="https://www.google.com/maps/search/?api=1&amp;query=42.699810,1.054300" TargetMode="External" Id="rId790"/><Relationship Type="http://schemas.openxmlformats.org/officeDocument/2006/relationships/hyperlink" Target="https://www.feec.cat/activitats/100-cims/cim/campirme/" TargetMode="External" Id="rId791"/><Relationship Type="http://schemas.openxmlformats.org/officeDocument/2006/relationships/hyperlink" Target="https://www.google.com/maps/search/?api=1&amp;query=42.659520,1.193630" TargetMode="External" Id="rId792"/><Relationship Type="http://schemas.openxmlformats.org/officeDocument/2006/relationships/hyperlink" Target="https://www.feec.cat/activitats/100-cims/cim/montarenyo-de-boldis/" TargetMode="External" Id="rId793"/><Relationship Type="http://schemas.openxmlformats.org/officeDocument/2006/relationships/hyperlink" Target="https://www.google.com/maps/search/?api=1&amp;query=42.637990,1.307490" TargetMode="External" Id="rId794"/><Relationship Type="http://schemas.openxmlformats.org/officeDocument/2006/relationships/hyperlink" Target="https://www.feec.cat/activitats/100-cims/cim/pic-de-colatx/" TargetMode="External" Id="rId795"/><Relationship Type="http://schemas.openxmlformats.org/officeDocument/2006/relationships/hyperlink" Target="https://www.google.com/maps/search/?api=1&amp;query=42.724310,1.325360" TargetMode="External" Id="rId796"/><Relationship Type="http://schemas.openxmlformats.org/officeDocument/2006/relationships/hyperlink" Target="https://www.feec.cat/activitats/100-cims/cim/pic-de-maniga/" TargetMode="External" Id="rId797"/><Relationship Type="http://schemas.openxmlformats.org/officeDocument/2006/relationships/hyperlink" Target="https://www.google.com/maps/search/?api=1&amp;query=42.505730,1.328840" TargetMode="External" Id="rId798"/><Relationship Type="http://schemas.openxmlformats.org/officeDocument/2006/relationships/hyperlink" Target="https://www.feec.cat/activitats/100-cims/cim/pic-de-montalt/" TargetMode="External" Id="rId799"/><Relationship Type="http://schemas.openxmlformats.org/officeDocument/2006/relationships/hyperlink" Target="https://www.google.com/maps/search/?api=1&amp;query=42.750380,1.132840" TargetMode="External" Id="rId800"/><Relationship Type="http://schemas.openxmlformats.org/officeDocument/2006/relationships/hyperlink" Target="https://www.feec.cat/activitats/100-cims/cim/pic-de-la-plana/" TargetMode="External" Id="rId801"/><Relationship Type="http://schemas.openxmlformats.org/officeDocument/2006/relationships/hyperlink" Target="https://www.google.com/maps/search/?api=1&amp;query=42.661580,1.036680" TargetMode="External" Id="rId802"/><Relationship Type="http://schemas.openxmlformats.org/officeDocument/2006/relationships/hyperlink" Target="https://www.feec.cat/activitats/100-cims/cim/torreta-de-lorri/" TargetMode="External" Id="rId803"/><Relationship Type="http://schemas.openxmlformats.org/officeDocument/2006/relationships/hyperlink" Target="https://www.google.com/maps/search/?api=1&amp;query=42.408660,1.214850" TargetMode="External" Id="rId804"/><Relationship Type="http://schemas.openxmlformats.org/officeDocument/2006/relationships/hyperlink" Target="https://www.feec.cat/activitats/100-cims/cim/montcaubo-lo-calbo/" TargetMode="External" Id="rId805"/><Relationship Type="http://schemas.openxmlformats.org/officeDocument/2006/relationships/hyperlink" Target="https://www.google.com/maps/search/?api=1&amp;query=42.598660,1.179420" TargetMode="External" Id="rId806"/><Relationship Type="http://schemas.openxmlformats.org/officeDocument/2006/relationships/hyperlink" Target="https://www.feec.cat/activitats/100-cims/cim/pui-durdosa/" TargetMode="External" Id="rId807"/><Relationship Type="http://schemas.openxmlformats.org/officeDocument/2006/relationships/hyperlink" Target="https://www.google.com/maps/search/?api=1&amp;query=42.471180,1.248310" TargetMode="External" Id="rId808"/><Relationship Type="http://schemas.openxmlformats.org/officeDocument/2006/relationships/hyperlink" Target="https://www.feec.cat/activitats/100-cims/cim/pui-de-cassibros/" TargetMode="External" Id="rId809"/><Relationship Type="http://schemas.openxmlformats.org/officeDocument/2006/relationships/hyperlink" Target="https://www.google.com/maps/search/?api=1&amp;query=42.560700,1.264860" TargetMode="External" Id="rId810"/><Relationship Type="http://schemas.openxmlformats.org/officeDocument/2006/relationships/hyperlink" Target="https://www.feec.cat/activitats/100-cims/cim/tossal-del-puial/" TargetMode="External" Id="rId811"/><Relationship Type="http://schemas.openxmlformats.org/officeDocument/2006/relationships/hyperlink" Target="https://www.google.com/maps/search/?api=1&amp;query=42.341790,1.133030" TargetMode="External" Id="rId812"/><Relationship Type="http://schemas.openxmlformats.org/officeDocument/2006/relationships/hyperlink" Target="https://www.feec.cat/activitats/100-cims/cim/pui-tabaca/" TargetMode="External" Id="rId813"/><Relationship Type="http://schemas.openxmlformats.org/officeDocument/2006/relationships/hyperlink" Target="https://www.google.com/maps/search/?api=1&amp;query=42.588480,1.223110" TargetMode="External" Id="rId814"/><Relationship Type="http://schemas.openxmlformats.org/officeDocument/2006/relationships/hyperlink" Target="https://www.feec.cat/activitats/100-cims/cim/tossal-de-laliga-la-geganta-adormida/" TargetMode="External" Id="rId815"/><Relationship Type="http://schemas.openxmlformats.org/officeDocument/2006/relationships/hyperlink" Target="https://www.google.com/maps/search/?api=1&amp;query=42.298930,1.018840" TargetMode="External" Id="rId816"/><Relationship Type="http://schemas.openxmlformats.org/officeDocument/2006/relationships/hyperlink" Target="https://www.feec.cat/activitats/100-cims/cim/la-fita-alta/" TargetMode="External" Id="rId817"/><Relationship Type="http://schemas.openxmlformats.org/officeDocument/2006/relationships/hyperlink" Target="https://www.google.com/maps/search/?api=1&amp;query=41.612990,0.843120" TargetMode="External" Id="rId818"/><Relationship Type="http://schemas.openxmlformats.org/officeDocument/2006/relationships/hyperlink" Target="https://www.feec.cat/activitats/100-cims/cim/sant-patllari/" TargetMode="External" Id="rId819"/><Relationship Type="http://schemas.openxmlformats.org/officeDocument/2006/relationships/hyperlink" Target="https://www.google.com/maps/search/?api=1&amp;query=42.112080,2.711730" TargetMode="External" Id="rId820"/><Relationship Type="http://schemas.openxmlformats.org/officeDocument/2006/relationships/hyperlink" Target="https://www.feec.cat/activitats/100-cims/cim/puig-clara/" TargetMode="External" Id="rId821"/><Relationship Type="http://schemas.openxmlformats.org/officeDocument/2006/relationships/hyperlink" Target="https://www.google.com/maps/search/?api=1&amp;query=42.132840,2.738330" TargetMode="External" Id="rId822"/><Relationship Type="http://schemas.openxmlformats.org/officeDocument/2006/relationships/hyperlink" Target="https://www.feec.cat/activitats/100-cims/cim/roca-corbatera/" TargetMode="External" Id="rId823"/><Relationship Type="http://schemas.openxmlformats.org/officeDocument/2006/relationships/hyperlink" Target="https://www.google.com/maps/search/?api=1&amp;query=41.288590,0.891230" TargetMode="External" Id="rId824"/><Relationship Type="http://schemas.openxmlformats.org/officeDocument/2006/relationships/hyperlink" Target="https://www.feec.cat/activitats/100-cims/cim/la-cogulla-montsant/" TargetMode="External" Id="rId825"/><Relationship Type="http://schemas.openxmlformats.org/officeDocument/2006/relationships/hyperlink" Target="https://www.google.com/maps/search/?api=1&amp;query=41.277530,0.805670" TargetMode="External" Id="rId826"/><Relationship Type="http://schemas.openxmlformats.org/officeDocument/2006/relationships/hyperlink" Target="https://www.feec.cat/activitats/100-cims/cim/punta-dels-pins-carrassers/" TargetMode="External" Id="rId827"/><Relationship Type="http://schemas.openxmlformats.org/officeDocument/2006/relationships/hyperlink" Target="https://www.google.com/maps/search/?api=1&amp;query=41.305630,0.842030" TargetMode="External" Id="rId828"/><Relationship Type="http://schemas.openxmlformats.org/officeDocument/2006/relationships/hyperlink" Target="https://www.feec.cat/activitats/100-cims/cim/montalt-punta-nord/" TargetMode="External" Id="rId829"/><Relationship Type="http://schemas.openxmlformats.org/officeDocument/2006/relationships/hyperlink" Target="https://www.google.com/maps/search/?api=1&amp;query=41.068330,0.803220" TargetMode="External" Id="rId830"/><Relationship Type="http://schemas.openxmlformats.org/officeDocument/2006/relationships/hyperlink" Target="https://www.feec.cat/activitats/100-cims/cim/lo-morral/" TargetMode="External" Id="rId831"/><Relationship Type="http://schemas.openxmlformats.org/officeDocument/2006/relationships/hyperlink" Target="https://www.google.com/maps/search/?api=1&amp;query=41.156300,0.851250" TargetMode="External" Id="rId832"/><Relationship Type="http://schemas.openxmlformats.org/officeDocument/2006/relationships/hyperlink" Target="https://www.feec.cat/activitats/100-cims/cim/la-tossa-tivissa/" TargetMode="External" Id="rId833"/><Relationship Type="http://schemas.openxmlformats.org/officeDocument/2006/relationships/hyperlink" Target="https://www.google.com/maps/search/?api=1&amp;query=41.028950,0.736270" TargetMode="External" Id="rId834"/><Relationship Type="http://schemas.openxmlformats.org/officeDocument/2006/relationships/hyperlink" Target="https://www.feec.cat/activitats/100-cims/cim/lo-tormo/" TargetMode="External" Id="rId835"/><Relationship Type="http://schemas.openxmlformats.org/officeDocument/2006/relationships/hyperlink" Target="https://www.google.com/maps/search/?api=1&amp;query=41.179030,0.643460" TargetMode="External" Id="rId836"/><Relationship Type="http://schemas.openxmlformats.org/officeDocument/2006/relationships/hyperlink" Target="https://www.feec.cat/activitats/100-cims/cim/coll-de-pins/" TargetMode="External" Id="rId837"/><Relationship Type="http://schemas.openxmlformats.org/officeDocument/2006/relationships/hyperlink" Target="https://www.google.com/maps/search/?api=1&amp;query=40.987410,0.593570" TargetMode="External" Id="rId838"/><Relationship Type="http://schemas.openxmlformats.org/officeDocument/2006/relationships/hyperlink" Target="https://www.feec.cat/activitats/100-cims/cim/la-picossa/" TargetMode="External" Id="rId839"/><Relationship Type="http://schemas.openxmlformats.org/officeDocument/2006/relationships/hyperlink" Target="https://www.google.com/maps/search/?api=1&amp;query=41.109410,0.576420" TargetMode="External" Id="rId840"/><Relationship Type="http://schemas.openxmlformats.org/officeDocument/2006/relationships/hyperlink" Target="https://www.feec.cat/activitats/100-cims/cim/pic-de-laguila/" TargetMode="External" Id="rId841"/><Relationship Type="http://schemas.openxmlformats.org/officeDocument/2006/relationships/hyperlink" Target="https://www.google.com/maps/search/?api=1&amp;query=41.139900,0.602190" TargetMode="External" Id="rId842"/><Relationship Type="http://schemas.openxmlformats.org/officeDocument/2006/relationships/hyperlink" Target="https://www.feec.cat/activitats/100-cims/cim/les-carcoles/" TargetMode="External" Id="rId843"/><Relationship Type="http://schemas.openxmlformats.org/officeDocument/2006/relationships/hyperlink" Target="https://www.google.com/maps/search/?api=1&amp;query=41.035920,0.679570" TargetMode="External" Id="rId844"/><Relationship Type="http://schemas.openxmlformats.org/officeDocument/2006/relationships/hyperlink" Target="https://www.feec.cat/activitats/100-cims/cim/laliga/" TargetMode="External" Id="rId845"/><Relationship Type="http://schemas.openxmlformats.org/officeDocument/2006/relationships/hyperlink" Target="https://www.google.com/maps/search/?api=1&amp;query=41.027710,0.557910" TargetMode="External" Id="rId846"/><Relationship Type="http://schemas.openxmlformats.org/officeDocument/2006/relationships/hyperlink" Target="https://www.feec.cat/activitats/100-cims/cim/gra-de-fajol/" TargetMode="External" Id="rId847"/><Relationship Type="http://schemas.openxmlformats.org/officeDocument/2006/relationships/hyperlink" Target="https://www.google.com/maps/search/?api=1&amp;query=42.415480,2.247760" TargetMode="External" Id="rId848"/><Relationship Type="http://schemas.openxmlformats.org/officeDocument/2006/relationships/hyperlink" Target="https://www.feec.cat/activitats/100-cims/cim/torreneules/" TargetMode="External" Id="rId849"/><Relationship Type="http://schemas.openxmlformats.org/officeDocument/2006/relationships/hyperlink" Target="https://www.google.com/maps/search/?api=1&amp;query=42.390880,2.196200" TargetMode="External" Id="rId850"/><Relationship Type="http://schemas.openxmlformats.org/officeDocument/2006/relationships/hyperlink" Target="https://www.feec.cat/activitats/100-cims/cim/les-borregues/" TargetMode="External" Id="rId851"/><Relationship Type="http://schemas.openxmlformats.org/officeDocument/2006/relationships/hyperlink" Target="https://www.google.com/maps/search/?api=1&amp;query=42.396320,2.247720" TargetMode="External" Id="rId852"/><Relationship Type="http://schemas.openxmlformats.org/officeDocument/2006/relationships/hyperlink" Target="https://www.feec.cat/activitats/100-cims/cim/balandrau/" TargetMode="External" Id="rId853"/><Relationship Type="http://schemas.openxmlformats.org/officeDocument/2006/relationships/hyperlink" Target="https://www.google.com/maps/search/?api=1&amp;query=42.370110,2.219570" TargetMode="External" Id="rId854"/><Relationship Type="http://schemas.openxmlformats.org/officeDocument/2006/relationships/hyperlink" Target="https://www.feec.cat/activitats/100-cims/cim/costabona/" TargetMode="External" Id="rId855"/><Relationship Type="http://schemas.openxmlformats.org/officeDocument/2006/relationships/hyperlink" Target="https://www.google.com/maps/search/?api=1&amp;query=42.416900,2.343920" TargetMode="External" Id="rId856"/><Relationship Type="http://schemas.openxmlformats.org/officeDocument/2006/relationships/hyperlink" Target="https://www.feec.cat/activitats/100-cims/cim/costa-pubilla-o-pla-de-pujalts/" TargetMode="External" Id="rId857"/><Relationship Type="http://schemas.openxmlformats.org/officeDocument/2006/relationships/hyperlink" Target="https://www.google.com/maps/search/?api=1&amp;query=42.285720,2.080660" TargetMode="External" Id="rId858"/><Relationship Type="http://schemas.openxmlformats.org/officeDocument/2006/relationships/hyperlink" Target="https://www.feec.cat/activitats/100-cims/cim/taga/" TargetMode="External" Id="rId859"/><Relationship Type="http://schemas.openxmlformats.org/officeDocument/2006/relationships/hyperlink" Target="https://www.google.com/maps/search/?api=1&amp;query=42.280770,2.209890" TargetMode="External" Id="rId860"/><Relationship Type="http://schemas.openxmlformats.org/officeDocument/2006/relationships/hyperlink" Target="https://www.feec.cat/activitats/100-cims/cim/puig-estela/" TargetMode="External" Id="rId861"/><Relationship Type="http://schemas.openxmlformats.org/officeDocument/2006/relationships/hyperlink" Target="https://www.google.com/maps/search/?api=1&amp;query=42.284300,2.253990" TargetMode="External" Id="rId862"/><Relationship Type="http://schemas.openxmlformats.org/officeDocument/2006/relationships/hyperlink" Target="https://www.feec.cat/activitats/100-cims/cim/puig-de-les-agudes/" TargetMode="External" Id="rId863"/><Relationship Type="http://schemas.openxmlformats.org/officeDocument/2006/relationships/hyperlink" Target="https://www.google.com/maps/search/?api=1&amp;query=42.363380,2.318740" TargetMode="External" Id="rId864"/><Relationship Type="http://schemas.openxmlformats.org/officeDocument/2006/relationships/hyperlink" Target="https://www.feec.cat/activitats/100-cims/cim/sant-antoni/" TargetMode="External" Id="rId865"/><Relationship Type="http://schemas.openxmlformats.org/officeDocument/2006/relationships/hyperlink" Target="https://www.google.com/maps/search/?api=1&amp;query=42.305120,2.375950" TargetMode="External" Id="rId866"/><Relationship Type="http://schemas.openxmlformats.org/officeDocument/2006/relationships/hyperlink" Target="https://www.feec.cat/activitats/100-cims/cim/puig-cornador/" TargetMode="External" Id="rId867"/><Relationship Type="http://schemas.openxmlformats.org/officeDocument/2006/relationships/hyperlink" Target="https://www.google.com/maps/search/?api=1&amp;query=42.139740,2.108340" TargetMode="External" Id="rId868"/><Relationship Type="http://schemas.openxmlformats.org/officeDocument/2006/relationships/hyperlink" Target="https://www.feec.cat/activitats/100-cims/cim/puig-de-bestreca/" TargetMode="External" Id="rId869"/><Relationship Type="http://schemas.openxmlformats.org/officeDocument/2006/relationships/hyperlink" Target="https://www.google.com/maps/search/?api=1&amp;query=42.294310,2.515420" TargetMode="External" Id="rId870"/><Relationship Type="http://schemas.openxmlformats.org/officeDocument/2006/relationships/hyperlink" Target="https://www.feec.cat/activitats/100-cims/cim/puig-de-sant-cristau/" TargetMode="External" Id="rId871"/><Relationship Type="http://schemas.openxmlformats.org/officeDocument/2006/relationships/hyperlink" Target="https://www.google.com/maps/search/?api=1&amp;query=42.492020,2.890700" TargetMode="External" Id="rId872"/><Relationship Type="http://schemas.openxmlformats.org/officeDocument/2006/relationships/hyperlink" Target="https://www.feec.cat/activitats/100-cims/cim/torre-de-la-macana/" TargetMode="External" Id="rId873"/><Relationship Type="http://schemas.openxmlformats.org/officeDocument/2006/relationships/hyperlink" Target="https://www.google.com/maps/search/?api=1&amp;query=42.498170,3.026330" TargetMode="External" Id="rId874"/><Relationship Type="http://schemas.openxmlformats.org/officeDocument/2006/relationships/hyperlink" Target="https://www.feec.cat/activitats/100-cims/cim/montolier-de-perellos/" TargetMode="External" Id="rId875"/><Relationship Type="http://schemas.openxmlformats.org/officeDocument/2006/relationships/hyperlink" Target="https://www.google.com/maps/search/?api=1&amp;query=42.918520,2.865190" TargetMode="External" Id="rId876"/><Relationship Type="http://schemas.openxmlformats.org/officeDocument/2006/relationships/hyperlink" Target="https://www.feec.cat/activitats/100-cims/cim/torre-de-madeloc/" TargetMode="External" Id="rId877"/><Relationship Type="http://schemas.openxmlformats.org/officeDocument/2006/relationships/hyperlink" Target="https://www.google.com/maps/search/?api=1&amp;query=42.490430,3.075120" TargetMode="External" Id="rId878"/><Relationship Type="http://schemas.openxmlformats.org/officeDocument/2006/relationships/hyperlink" Target="https://www.feec.cat/activitats/100-cims/cim/la-serra-vingrau/" TargetMode="External" Id="rId879"/><Relationship Type="http://schemas.openxmlformats.org/officeDocument/2006/relationships/hyperlink" Target="https://www.google.com/maps/search/?api=1&amp;query=42.865680,2.793760" TargetMode="External" Id="rId880"/><Relationship Type="http://schemas.openxmlformats.org/officeDocument/2006/relationships/hyperlink" Target="https://www.feec.cat/activitats/100-cims/cim/sant-marti-de-la-roca/" TargetMode="External" Id="rId881"/><Relationship Type="http://schemas.openxmlformats.org/officeDocument/2006/relationships/hyperlink" Target="https://www.google.com/maps/search/?api=1&amp;query=42.624740,2.678000" TargetMode="External" Id="rId882"/><Relationship Type="http://schemas.openxmlformats.org/officeDocument/2006/relationships/hyperlink" Target="https://www.feec.cat/activitats/100-cims/cim/forca-real/" TargetMode="External" Id="rId883"/><Relationship Type="http://schemas.openxmlformats.org/officeDocument/2006/relationships/hyperlink" Target="https://www.google.com/maps/search/?api=1&amp;query=42.726920,2.700230" TargetMode="External" Id="rId884"/><Relationship Type="http://schemas.openxmlformats.org/officeDocument/2006/relationships/hyperlink" Target="https://www.feec.cat/activitats/100-cims/cim/torre-del-far/" TargetMode="External" Id="rId885"/><Relationship Type="http://schemas.openxmlformats.org/officeDocument/2006/relationships/hyperlink" Target="https://www.google.com/maps/search/?api=1&amp;query=42.805410,2.761810" TargetMode="External" Id="rId886"/><Relationship Type="http://schemas.openxmlformats.org/officeDocument/2006/relationships/hyperlink" Target="https://www.feec.cat/activitats/100-cims/cim/roc-de-mallorca/" TargetMode="External" Id="rId887"/><Relationship Type="http://schemas.openxmlformats.org/officeDocument/2006/relationships/hyperlink" Target="https://www.google.com/maps/search/?api=1&amp;query=42.616000,2.705600" TargetMode="External" Id="rId888"/><Relationship Type="http://schemas.openxmlformats.org/officeDocument/2006/relationships/hyperlink" Target="https://www.feec.cat/activitats/100-cims/cim/tossal-de-suro/" TargetMode="External" Id="rId889"/><Relationship Type="http://schemas.openxmlformats.org/officeDocument/2006/relationships/hyperlink" Target="https://www.google.com/maps/search/?api=1&amp;query=41.572780,1.304920" TargetMode="External" Id="rId890"/><Relationship Type="http://schemas.openxmlformats.org/officeDocument/2006/relationships/hyperlink" Target="https://www.feec.cat/activitats/100-cims/cim/tossal-de-la-creu/" TargetMode="External" Id="rId891"/><Relationship Type="http://schemas.openxmlformats.org/officeDocument/2006/relationships/hyperlink" Target="https://www.google.com/maps/search/?api=1&amp;query=41.846560,1.402070" TargetMode="External" Id="rId892"/><Relationship Type="http://schemas.openxmlformats.org/officeDocument/2006/relationships/hyperlink" Target="https://www.feec.cat/activitats/100-cims/cim/tossal-del-mas-de-nadal/" TargetMode="External" Id="rId893"/><Relationship Type="http://schemas.openxmlformats.org/officeDocument/2006/relationships/hyperlink" Target="https://www.google.com/maps/search/?api=1&amp;query=41.825560,1.317350" TargetMode="External" Id="rId894"/><Relationship Type="http://schemas.openxmlformats.org/officeDocument/2006/relationships/hyperlink" Target="https://www.feec.cat/activitats/100-cims/cim/montmeneu/" TargetMode="External" Id="rId895"/><Relationship Type="http://schemas.openxmlformats.org/officeDocument/2006/relationships/hyperlink" Target="https://www.google.com/maps/search/?api=1&amp;query=41.388710,0.401390" TargetMode="External" Id="rId896"/><Relationship Type="http://schemas.openxmlformats.org/officeDocument/2006/relationships/hyperlink" Target="https://www.feec.cat/activitats/100-cims/cim/tossal-gros-dalmatret/" TargetMode="External" Id="rId897"/><Relationship Type="http://schemas.openxmlformats.org/officeDocument/2006/relationships/hyperlink" Target="https://www.google.com/maps/search/?api=1&amp;query=41.333170,0.381880" TargetMode="External" Id="rId898"/><Relationship Type="http://schemas.openxmlformats.org/officeDocument/2006/relationships/hyperlink" Target="https://www.feec.cat/activitats/100-cims/cim/tossal-de-la-moradilla/" TargetMode="External" Id="rId899"/><Relationship Type="http://schemas.openxmlformats.org/officeDocument/2006/relationships/hyperlink" Target="https://www.google.com/maps/search/?api=1&amp;query=41.619530,0.709800" TargetMode="External" Id="rId900"/><Relationship Type="http://schemas.openxmlformats.org/officeDocument/2006/relationships/hyperlink" Target="https://www.feec.cat/activitats/100-cims/cim/les-agudes/" TargetMode="External" Id="rId901"/><Relationship Type="http://schemas.openxmlformats.org/officeDocument/2006/relationships/hyperlink" Target="https://www.google.com/maps/search/?api=1&amp;query=41.789330,2.443950" TargetMode="External" Id="rId902"/><Relationship Type="http://schemas.openxmlformats.org/officeDocument/2006/relationships/hyperlink" Target="https://www.feec.cat/activitats/100-cims/cim/sant-miquel-de-solterra/" TargetMode="External" Id="rId903"/><Relationship Type="http://schemas.openxmlformats.org/officeDocument/2006/relationships/hyperlink" Target="https://www.google.com/maps/search/?api=1&amp;query=41.923120,2.533030" TargetMode="External" Id="rId904"/><Relationship Type="http://schemas.openxmlformats.org/officeDocument/2006/relationships/hyperlink" Target="https://www.feec.cat/activitats/100-cims/cim/sant-benet/" TargetMode="External" Id="rId905"/><Relationship Type="http://schemas.openxmlformats.org/officeDocument/2006/relationships/hyperlink" Target="https://www.google.com/maps/search/?api=1&amp;query=41.948740,2.513500" TargetMode="External" Id="rId906"/><Relationship Type="http://schemas.openxmlformats.org/officeDocument/2006/relationships/hyperlink" Target="https://www.feec.cat/activitats/100-cims/cim/el-far/" TargetMode="External" Id="rId907"/><Relationship Type="http://schemas.openxmlformats.org/officeDocument/2006/relationships/hyperlink" Target="https://www.google.com/maps/search/?api=1&amp;query=42.020840,2.536640" TargetMode="External" Id="rId908"/><Relationship Type="http://schemas.openxmlformats.org/officeDocument/2006/relationships/hyperlink" Target="https://www.feec.cat/activitats/100-cims/cim/roques-del-rei/" TargetMode="External" Id="rId909"/><Relationship Type="http://schemas.openxmlformats.org/officeDocument/2006/relationships/hyperlink" Target="https://www.google.com/maps/search/?api=1&amp;query=41.885280,2.565850" TargetMode="External" Id="rId910"/><Relationship Type="http://schemas.openxmlformats.org/officeDocument/2006/relationships/hyperlink" Target="https://www.feec.cat/activitats/100-cims/cim/puigdefrou/" TargetMode="External" Id="rId911"/><Relationship Type="http://schemas.openxmlformats.org/officeDocument/2006/relationships/hyperlink" Target="https://www.google.com/maps/search/?api=1&amp;query=41.963540,2.592500" TargetMode="External" Id="rId912"/><Relationship Type="http://schemas.openxmlformats.org/officeDocument/2006/relationships/hyperlink" Target="https://www.feec.cat/activitats/100-cims/cim/turo-de-montsoriu/" TargetMode="External" Id="rId913"/><Relationship Type="http://schemas.openxmlformats.org/officeDocument/2006/relationships/hyperlink" Target="https://www.google.com/maps/search/?api=1&amp;query=41.782770,2.540640" TargetMode="External" Id="rId914"/><Relationship Type="http://schemas.openxmlformats.org/officeDocument/2006/relationships/hyperlink" Target="https://www.feec.cat/activitats/100-cims/cim/largimon/" TargetMode="External" Id="rId915"/><Relationship Type="http://schemas.openxmlformats.org/officeDocument/2006/relationships/hyperlink" Target="https://www.google.com/maps/search/?api=1&amp;query=41.830660,2.635980" TargetMode="External" Id="rId916"/><Relationship Type="http://schemas.openxmlformats.org/officeDocument/2006/relationships/hyperlink" Target="https://www.feec.cat/activitats/100-cims/cim/turo-del-vent/" TargetMode="External" Id="rId917"/><Relationship Type="http://schemas.openxmlformats.org/officeDocument/2006/relationships/hyperlink" Target="https://www.google.com/maps/search/?api=1&amp;query=41.861290,2.631010" TargetMode="External" Id="rId918"/><Relationship Type="http://schemas.openxmlformats.org/officeDocument/2006/relationships/hyperlink" Target="https://www.feec.cat/activitats/100-cims/cim/turo-de-puigmari/" TargetMode="External" Id="rId919"/><Relationship Type="http://schemas.openxmlformats.org/officeDocument/2006/relationships/hyperlink" Target="https://www.google.com/maps/search/?api=1&amp;query=41.754550,2.730420" TargetMode="External" Id="rId920"/><Relationship Type="http://schemas.openxmlformats.org/officeDocument/2006/relationships/hyperlink" Target="https://www.feec.cat/activitats/100-cims/cim/puig-de-les-morreres/" TargetMode="External" Id="rId921"/><Relationship Type="http://schemas.openxmlformats.org/officeDocument/2006/relationships/hyperlink" Target="https://www.google.com/maps/search/?api=1&amp;query=42.150920,1.539440" TargetMode="External" Id="rId922"/><Relationship Type="http://schemas.openxmlformats.org/officeDocument/2006/relationships/hyperlink" Target="https://www.feec.cat/activitats/100-cims/cim/puig-sobira/" TargetMode="External" Id="rId923"/><Relationship Type="http://schemas.openxmlformats.org/officeDocument/2006/relationships/hyperlink" Target="https://www.google.com/maps/search/?api=1&amp;query=42.134040,1.497650" TargetMode="External" Id="rId924"/><Relationship Type="http://schemas.openxmlformats.org/officeDocument/2006/relationships/hyperlink" Target="https://www.feec.cat/activitats/100-cims/cim/el-cogul/" TargetMode="External" Id="rId925"/><Relationship Type="http://schemas.openxmlformats.org/officeDocument/2006/relationships/hyperlink" Target="https://www.google.com/maps/search/?api=1&amp;query=42.110030,1.639450" TargetMode="External" Id="rId926"/><Relationship Type="http://schemas.openxmlformats.org/officeDocument/2006/relationships/hyperlink" Target="https://www.feec.cat/activitats/100-cims/cim/la-guardia-serra-de-busa/" TargetMode="External" Id="rId927"/><Relationship Type="http://schemas.openxmlformats.org/officeDocument/2006/relationships/hyperlink" Target="https://www.google.com/maps/search/?api=1&amp;query=42.093100,1.624210" TargetMode="External" Id="rId928"/><Relationship Type="http://schemas.openxmlformats.org/officeDocument/2006/relationships/hyperlink" Target="https://www.feec.cat/activitats/100-cims/cim/roc-de-les-monges-serrat-de-la-questio/" TargetMode="External" Id="rId929"/><Relationship Type="http://schemas.openxmlformats.org/officeDocument/2006/relationships/hyperlink" Target="https://www.google.com/maps/search/?api=1&amp;query=42.096660,1.717250" TargetMode="External" Id="rId930"/><Relationship Type="http://schemas.openxmlformats.org/officeDocument/2006/relationships/hyperlink" Target="https://www.feec.cat/activitats/100-cims/cim/mola-de-lord/" TargetMode="External" Id="rId931"/><Relationship Type="http://schemas.openxmlformats.org/officeDocument/2006/relationships/hyperlink" Target="https://www.google.com/maps/search/?api=1&amp;query=42.116670,1.581830" TargetMode="External" Id="rId932"/><Relationship Type="http://schemas.openxmlformats.org/officeDocument/2006/relationships/hyperlink" Target="https://www.feec.cat/activitats/100-cims/cim/roc-del-migdia-la-valldan/" TargetMode="External" Id="rId933"/><Relationship Type="http://schemas.openxmlformats.org/officeDocument/2006/relationships/hyperlink" Target="https://www.google.com/maps/search/?api=1&amp;query=42.104530,1.362390" TargetMode="External" Id="rId934"/><Relationship Type="http://schemas.openxmlformats.org/officeDocument/2006/relationships/hyperlink" Target="https://www.feec.cat/activitats/100-cims/cim/serra-de-pinos/" TargetMode="External" Id="rId935"/><Relationship Type="http://schemas.openxmlformats.org/officeDocument/2006/relationships/hyperlink" Target="https://www.google.com/maps/search/?api=1&amp;query=41.833590,1.528940" TargetMode="External" Id="rId936"/><Relationship Type="http://schemas.openxmlformats.org/officeDocument/2006/relationships/hyperlink" Target="https://www.feec.cat/activitats/100-cims/cim/sant-simplici/" TargetMode="External" Id="rId937"/><Relationship Type="http://schemas.openxmlformats.org/officeDocument/2006/relationships/hyperlink" Target="https://www.google.com/maps/search/?api=1&amp;query=41.144900,1.337030" TargetMode="External" Id="rId938"/><Relationship Type="http://schemas.openxmlformats.org/officeDocument/2006/relationships/hyperlink" Target="https://www.feec.cat/activitats/100-cims/cim/la-miranda-de-terranyes/" TargetMode="External" Id="rId939"/><Relationship Type="http://schemas.openxmlformats.org/officeDocument/2006/relationships/hyperlink" Target="https://www.google.com/maps/search/?api=1&amp;query=40.835010,0.280340" TargetMode="External" Id="rId940"/><Relationship Type="http://schemas.openxmlformats.org/officeDocument/2006/relationships/hyperlink" Target="https://www.feec.cat/activitats/100-cims/cim/roques-de-benet-el-castell/" TargetMode="External" Id="rId941"/><Relationship Type="http://schemas.openxmlformats.org/officeDocument/2006/relationships/hyperlink" Target="https://www.google.com/maps/search/?api=1&amp;query=40.900650,0.326550" TargetMode="External" Id="rId942"/><Relationship Type="http://schemas.openxmlformats.org/officeDocument/2006/relationships/hyperlink" Target="https://www.feec.cat/activitats/100-cims/cim/lo-blau-roca-grossa-moletans/" TargetMode="External" Id="rId943"/><Relationship Type="http://schemas.openxmlformats.org/officeDocument/2006/relationships/hyperlink" Target="https://www.google.com/maps/search/?api=1&amp;query=40.870770,0.266150" TargetMode="External" Id="rId944"/><Relationship Type="http://schemas.openxmlformats.org/officeDocument/2006/relationships/hyperlink" Target="https://www.feec.cat/activitats/100-cims/cim/santa-barbara/" TargetMode="External" Id="rId945"/><Relationship Type="http://schemas.openxmlformats.org/officeDocument/2006/relationships/hyperlink" Target="https://www.google.com/maps/search/?api=1&amp;query=40.956890,0.338330" TargetMode="External" Id="rId946"/><Relationship Type="http://schemas.openxmlformats.org/officeDocument/2006/relationships/hyperlink" Target="https://www.feec.cat/activitats/100-cims/cim/puig-cavaller/" TargetMode="External" Id="rId947"/><Relationship Type="http://schemas.openxmlformats.org/officeDocument/2006/relationships/hyperlink" Target="https://www.google.com/maps/search/?api=1&amp;query=41.027760,0.437630" TargetMode="External" Id="rId948"/><Relationship Type="http://schemas.openxmlformats.org/officeDocument/2006/relationships/hyperlink" Target="https://www.feec.cat/activitats/100-cims/cim/punta-redona/" TargetMode="External" Id="rId949"/><Relationship Type="http://schemas.openxmlformats.org/officeDocument/2006/relationships/hyperlink" Target="https://www.google.com/maps/search/?api=1&amp;query=41.058850,0.500930" TargetMode="External" Id="rId950"/><Relationship Type="http://schemas.openxmlformats.org/officeDocument/2006/relationships/hyperlink" Target="https://www.feec.cat/activitats/100-cims/cim/rocamala/" TargetMode="External" Id="rId951"/><Relationship Type="http://schemas.openxmlformats.org/officeDocument/2006/relationships/hyperlink" Target="https://www.google.com/maps/search/?api=1&amp;query=40.992860,0.397730" TargetMode="External" Id="rId952"/><Relationship Type="http://schemas.openxmlformats.org/officeDocument/2006/relationships/hyperlink" Target="https://www.feec.cat/activitats/100-cims/cim/mola-dirto/" TargetMode="External" Id="rId953"/><Relationship Type="http://schemas.openxmlformats.org/officeDocument/2006/relationships/hyperlink" Target="https://www.google.com/maps/search/?api=1&amp;query=41.041790,0.474800" TargetMode="External" Id="rId954"/><Relationship Type="http://schemas.openxmlformats.org/officeDocument/2006/relationships/hyperlink" Target="https://www.feec.cat/activitats/100-cims/cim/pilar-dalmenara/" TargetMode="External" Id="rId955"/><Relationship Type="http://schemas.openxmlformats.org/officeDocument/2006/relationships/hyperlink" Target="https://www.google.com/maps/search/?api=1&amp;query=41.753420,1.067250" TargetMode="External" Id="rId956"/><Relationship Type="http://schemas.openxmlformats.org/officeDocument/2006/relationships/hyperlink" Target="https://www.feec.cat/activitats/100-cims/cim/tossal-despigol/" TargetMode="External" Id="rId957"/><Relationship Type="http://schemas.openxmlformats.org/officeDocument/2006/relationships/hyperlink" Target="https://www.google.com/maps/search/?api=1&amp;query=41.711270,1.089980" TargetMode="External" Id="rId958"/><Relationship Type="http://schemas.openxmlformats.org/officeDocument/2006/relationships/hyperlink" Target="https://www.feec.cat/activitats/100-cims/cim/tuc-de-molieres/" TargetMode="External" Id="rId959"/><Relationship Type="http://schemas.openxmlformats.org/officeDocument/2006/relationships/hyperlink" Target="https://www.google.com/maps/search/?api=1&amp;query=42.629480,0.698560" TargetMode="External" Id="rId960"/><Relationship Type="http://schemas.openxmlformats.org/officeDocument/2006/relationships/hyperlink" Target="https://www.feec.cat/activitats/100-cims/cim/tuc-de-la-tallada/" TargetMode="External" Id="rId961"/><Relationship Type="http://schemas.openxmlformats.org/officeDocument/2006/relationships/hyperlink" Target="https://www.google.com/maps/search/?api=1&amp;query=42.616770,0.723700" TargetMode="External" Id="rId962"/><Relationship Type="http://schemas.openxmlformats.org/officeDocument/2006/relationships/hyperlink" Target="https://www.feec.cat/activitats/100-cims/cim/malh-des-pois-la-forcanada/" TargetMode="External" Id="rId963"/><Relationship Type="http://schemas.openxmlformats.org/officeDocument/2006/relationships/hyperlink" Target="https://www.google.com/maps/search/?api=1&amp;query=42.643220,0.705630" TargetMode="External" Id="rId964"/><Relationship Type="http://schemas.openxmlformats.org/officeDocument/2006/relationships/hyperlink" Target="https://www.feec.cat/activitats/100-cims/cim/mauberme/" TargetMode="External" Id="rId965"/><Relationship Type="http://schemas.openxmlformats.org/officeDocument/2006/relationships/hyperlink" Target="https://www.google.com/maps/search/?api=1&amp;query=42.793750,0.917140" TargetMode="External" Id="rId966"/><Relationship Type="http://schemas.openxmlformats.org/officeDocument/2006/relationships/hyperlink" Target="https://www.feec.cat/activitats/100-cims/cim/montardo/" TargetMode="External" Id="rId967"/><Relationship Type="http://schemas.openxmlformats.org/officeDocument/2006/relationships/hyperlink" Target="https://www.google.com/maps/search/?api=1&amp;query=42.633330,0.875350" TargetMode="External" Id="rId968"/><Relationship Type="http://schemas.openxmlformats.org/officeDocument/2006/relationships/hyperlink" Target="https://www.feec.cat/activitats/100-cims/cim/tuc-de-barlonguera/" TargetMode="External" Id="rId969"/><Relationship Type="http://schemas.openxmlformats.org/officeDocument/2006/relationships/hyperlink" Target="https://www.google.com/maps/search/?api=1&amp;query=42.788570,1.009840" TargetMode="External" Id="rId970"/><Relationship Type="http://schemas.openxmlformats.org/officeDocument/2006/relationships/hyperlink" Target="https://www.feec.cat/activitats/100-cims/cim/malh-de-bolard/" TargetMode="External" Id="rId971"/><Relationship Type="http://schemas.openxmlformats.org/officeDocument/2006/relationships/hyperlink" Target="https://www.google.com/maps/search/?api=1&amp;query=42.805810,0.960450" TargetMode="External" Id="rId972"/><Relationship Type="http://schemas.openxmlformats.org/officeDocument/2006/relationships/hyperlink" Target="https://www.feec.cat/activitats/100-cims/cim/tossau-de-mar/" TargetMode="External" Id="rId973"/><Relationship Type="http://schemas.openxmlformats.org/officeDocument/2006/relationships/hyperlink" Target="https://www.google.com/maps/search/?api=1&amp;query=42.630300,0.828970" TargetMode="External" Id="rId974"/><Relationship Type="http://schemas.openxmlformats.org/officeDocument/2006/relationships/hyperlink" Target="https://www.feec.cat/activitats/100-cims/cim/tuc-de-parros/" TargetMode="External" Id="rId975"/><Relationship Type="http://schemas.openxmlformats.org/officeDocument/2006/relationships/hyperlink" Target="https://www.google.com/maps/search/?api=1&amp;query=42.767780,0.933050" TargetMode="External" Id="rId976"/><Relationship Type="http://schemas.openxmlformats.org/officeDocument/2006/relationships/hyperlink" Target="https://www.feec.cat/activitats/100-cims/cim/malh-dera-artiga/" TargetMode="External" Id="rId977"/><Relationship Type="http://schemas.openxmlformats.org/officeDocument/2006/relationships/hyperlink" Target="https://www.google.com/maps/search/?api=1&amp;query=42.658610,0.695560" TargetMode="External" Id="rId978"/><Relationship Type="http://schemas.openxmlformats.org/officeDocument/2006/relationships/hyperlink" Target="https://www.feec.cat/activitats/100-cims/cim/tuc-gran-dera-sendrosa/" TargetMode="External" Id="rId979"/><Relationship Type="http://schemas.openxmlformats.org/officeDocument/2006/relationships/hyperlink" Target="https://www.google.com/maps/search/?api=1&amp;query=42.623930,0.946850" TargetMode="External" Id="rId980"/><Relationship Type="http://schemas.openxmlformats.org/officeDocument/2006/relationships/hyperlink" Target="https://www.feec.cat/activitats/100-cims/cim/tuc-de-baciver/" TargetMode="External" Id="rId981"/><Relationship Type="http://schemas.openxmlformats.org/officeDocument/2006/relationships/hyperlink" Target="https://www.google.com/maps/search/?api=1&amp;query=42.712630,0.991790" TargetMode="External" Id="rId982"/><Relationship Type="http://schemas.openxmlformats.org/officeDocument/2006/relationships/hyperlink" Target="https://www.feec.cat/activitats/100-cims/cim/tuc-de-sarrahera/" TargetMode="External" Id="rId983"/><Relationship Type="http://schemas.openxmlformats.org/officeDocument/2006/relationships/hyperlink" Target="https://www.google.com/maps/search/?api=1&amp;query=42.644250,0.796360" TargetMode="External" Id="rId984"/><Relationship Type="http://schemas.openxmlformats.org/officeDocument/2006/relationships/hyperlink" Target="https://www.feec.cat/activitats/100-cims/cim/tuc-de-crabera/" TargetMode="External" Id="rId985"/><Relationship Type="http://schemas.openxmlformats.org/officeDocument/2006/relationships/hyperlink" Target="https://www.google.com/maps/search/?api=1&amp;query=42.825700,0.858210" TargetMode="External" Id="rId986"/><Relationship Type="http://schemas.openxmlformats.org/officeDocument/2006/relationships/hyperlink" Target="https://www.feec.cat/activitats/100-cims/cim/tuc-deth-port-de-vielha/" TargetMode="External" Id="rId987"/><Relationship Type="http://schemas.openxmlformats.org/officeDocument/2006/relationships/hyperlink" Target="https://www.google.com/maps/search/?api=1&amp;query=42.641860,0.765530" TargetMode="External" Id="rId988"/><Relationship Type="http://schemas.openxmlformats.org/officeDocument/2006/relationships/hyperlink" Target="https://www.feec.cat/activitats/100-cims/cim/tuc-dera-pincela/" TargetMode="External" Id="rId989"/><Relationship Type="http://schemas.openxmlformats.org/officeDocument/2006/relationships/hyperlink" Target="https://www.google.com/maps/search/?api=1&amp;query=42.742860,0.875680" TargetMode="External" Id="rId990"/><Relationship Type="http://schemas.openxmlformats.org/officeDocument/2006/relationships/hyperlink" Target="https://www.feec.cat/activitats/100-cims/cim/tuc-des-armeros/" TargetMode="External" Id="rId991"/><Relationship Type="http://schemas.openxmlformats.org/officeDocument/2006/relationships/hyperlink" Target="https://www.google.com/maps/search/?api=1&amp;query=42.781250,0.876910" TargetMode="External" Id="rId992"/><Relationship Type="http://schemas.openxmlformats.org/officeDocument/2006/relationships/hyperlink" Target="https://www.feec.cat/activitats/100-cims/cim/montlude/" TargetMode="External" Id="rId993"/><Relationship Type="http://schemas.openxmlformats.org/officeDocument/2006/relationships/hyperlink" Target="https://www.google.com/maps/search/?api=1&amp;query=42.785260,0.758720" TargetMode="External" Id="rId994"/><Relationship Type="http://schemas.openxmlformats.org/officeDocument/2006/relationships/hyperlink" Target="https://www.feec.cat/activitats/100-cims/cim/tuc-de-samont/" TargetMode="External" Id="rId995"/><Relationship Type="http://schemas.openxmlformats.org/officeDocument/2006/relationships/hyperlink" Target="https://www.google.com/maps/search/?api=1&amp;query=42.751280,0.851900" TargetMode="External" Id="rId996"/><Relationship Type="http://schemas.openxmlformats.org/officeDocument/2006/relationships/hyperlink" Target="https://www.feec.cat/activitats/100-cims/cim/pujoalbo/" TargetMode="External" Id="rId997"/><Relationship Type="http://schemas.openxmlformats.org/officeDocument/2006/relationships/hyperlink" Target="https://www.google.com/maps/search/?api=1&amp;query=42.655210,0.840140" TargetMode="External" Id="rId998"/><Relationship Type="http://schemas.openxmlformats.org/officeDocument/2006/relationships/hyperlink" Target="https://www.feec.cat/activitats/100-cims/cim/tuc-de-salana/" TargetMode="External" Id="rId999"/><Relationship Type="http://schemas.openxmlformats.org/officeDocument/2006/relationships/hyperlink" Target="https://www.google.com/maps/search/?api=1&amp;query=42.646880,0.908440" TargetMode="External" Id="rId1000"/><Relationship Type="http://schemas.openxmlformats.org/officeDocument/2006/relationships/hyperlink" Target="https://www.feec.cat/activitats/100-cims/cim/montanha-duishera/" TargetMode="External" Id="rId1001"/><Relationship Type="http://schemas.openxmlformats.org/officeDocument/2006/relationships/hyperlink" Target="https://www.google.com/maps/search/?api=1&amp;query=42.765610,0.732790" TargetMode="External" Id="rId1002"/><Relationship Type="http://schemas.openxmlformats.org/officeDocument/2006/relationships/hyperlink" Target="https://www.feec.cat/activitats/100-cims/cim/tuc-dera-entecada/" TargetMode="External" Id="rId1003"/><Relationship Type="http://schemas.openxmlformats.org/officeDocument/2006/relationships/hyperlink" Target="https://www.google.com/maps/search/?api=1&amp;query=42.718070,0.696960" TargetMode="External" Id="rId1004"/><Relationship Type="http://schemas.openxmlformats.org/officeDocument/2006/relationships/hyperlink" Target="https://www.feec.cat/activitats/100-cims/cim/tuc-deth-plan-deth-ome-vacanera/" TargetMode="External" Id="rId1005"/><Relationship Type="http://schemas.openxmlformats.org/officeDocument/2006/relationships/hyperlink" Target="https://www.google.com/maps/search/?api=1&amp;query=42.846130,0.675120" TargetMode="External" Id="rId1006"/><Relationship Type="http://schemas.openxmlformats.org/officeDocument/2006/relationships/hyperlink" Target="https://www.feec.cat/activitats/100-cims/cim/montcorbison/" TargetMode="External" Id="rId1007"/><Relationship Type="http://schemas.openxmlformats.org/officeDocument/2006/relationships/hyperlink" Target="https://www.google.com/maps/search/?api=1&amp;query=42.707820,0.758680" TargetMode="External" Id="rId1008"/><Relationship Type="http://schemas.openxmlformats.org/officeDocument/2006/relationships/hyperlink" Target="https://www.feec.cat/activitats/100-cims/cim/tuc-darres/" TargetMode="External" Id="rId1009"/><Relationship Type="http://schemas.openxmlformats.org/officeDocument/2006/relationships/hyperlink" Target="https://www.google.com/maps/search/?api=1&amp;query=42.743710,0.663350" TargetMode="External" Id="rId1010"/><Relationship Type="http://schemas.openxmlformats.org/officeDocument/2006/relationships/hyperlink" Target="https://www.feec.cat/activitats/100-cims/cim/la-mola-de-sant-llorenc-del-munt/" TargetMode="External" Id="rId1011"/><Relationship Type="http://schemas.openxmlformats.org/officeDocument/2006/relationships/hyperlink" Target="https://www.google.com/maps/search/?api=1&amp;query=41.641150,2.017670" TargetMode="External" Id="rId1012"/><Relationship Type="http://schemas.openxmlformats.org/officeDocument/2006/relationships/hyperlink" Target="https://www.feec.cat/activitats/100-cims/cim/sant-sadurni-de-gallifa/" TargetMode="External" Id="rId1013"/><Relationship Type="http://schemas.openxmlformats.org/officeDocument/2006/relationships/hyperlink" Target="https://www.google.com/maps/search/?api=1&amp;query=41.702770,2.122960" TargetMode="External" Id="rId1014"/><Relationship Type="http://schemas.openxmlformats.org/officeDocument/2006/relationships/hyperlink" Target="https://www.feec.cat/activitats/100-cims/cim/castellsapera/" TargetMode="External" Id="rId1015"/><Relationship Type="http://schemas.openxmlformats.org/officeDocument/2006/relationships/hyperlink" Target="https://www.google.com/maps/search/?api=1&amp;query=41.644530,1.970870" TargetMode="External" Id="rId1016"/><Relationship Type="http://schemas.openxmlformats.org/officeDocument/2006/relationships/hyperlink" Target="https://www.feec.cat/activitats/100-cims/cim/puig-de-la-creu/" TargetMode="External" Id="rId1017"/><Relationship Type="http://schemas.openxmlformats.org/officeDocument/2006/relationships/hyperlink" Target="https://www.google.com/maps/search/?api=1&amp;query=41.629210,2.101230" TargetMode="External" Id="rId1018"/><Relationship Type="http://schemas.openxmlformats.org/officeDocument/2006/relationships/hyperlink" Target="https://www.feec.cat/activitats/100-cims/cim/castell-de-bocs/" TargetMode="External" Id="rId1019"/><Relationship Type="http://schemas.openxmlformats.org/officeDocument/2006/relationships/hyperlink" Target="https://www.google.com/maps/search/?api=1&amp;query=41.642370,1.941820" TargetMode="External" Id="rId1020"/><Relationship Type="http://schemas.openxmlformats.org/officeDocument/2006/relationships/hyperlink" Target="https://www.feec.cat/activitats/100-cims/cim/turo-del-ros/" TargetMode="External" Id="rId1021"/><Relationship Type="http://schemas.openxmlformats.org/officeDocument/2006/relationships/hyperlink" Target="https://www.google.com/maps/search/?api=1&amp;query=41.576340,1.933970" TargetMode="External" Id="rId1022"/><Relationship Type="http://schemas.openxmlformats.org/officeDocument/2006/relationships/hyperlink" Target="https://www.feec.cat/activitats/100-cims/cim/turo-de-montcada/" TargetMode="External" Id="rId1023"/><Relationship Type="http://schemas.openxmlformats.org/officeDocument/2006/relationships/hyperlink" Target="https://www.google.com/maps/search/?api=1&amp;query=41.477210,2.176610" TargetMode="External" Id="rId1024"/><Relationship Type="http://schemas.openxmlformats.org/officeDocument/2006/relationships/hyperlink" Target="https://www.feec.cat/activitats/100-cims/cim/turo-de-lhome/" TargetMode="External" Id="rId1025"/><Relationship Type="http://schemas.openxmlformats.org/officeDocument/2006/relationships/hyperlink" Target="https://www.google.com/maps/search/?api=1&amp;query=41.776490,2.434810" TargetMode="External" Id="rId1026"/><Relationship Type="http://schemas.openxmlformats.org/officeDocument/2006/relationships/hyperlink" Target="https://www.feec.cat/activitats/100-cims/cim/el-sui/" TargetMode="External" Id="rId1027"/><Relationship Type="http://schemas.openxmlformats.org/officeDocument/2006/relationships/hyperlink" Target="https://www.google.com/maps/search/?api=1&amp;query=41.749110,2.345650" TargetMode="External" Id="rId1028"/><Relationship Type="http://schemas.openxmlformats.org/officeDocument/2006/relationships/hyperlink" Target="https://www.feec.cat/activitats/100-cims/cim/turo-del-samont/" TargetMode="External" Id="rId1029"/><Relationship Type="http://schemas.openxmlformats.org/officeDocument/2006/relationships/hyperlink" Target="https://www.google.com/maps/search/?api=1&amp;query=41.742680,2.365530" TargetMode="External" Id="rId1030"/><Relationship Type="http://schemas.openxmlformats.org/officeDocument/2006/relationships/hyperlink" Target="https://www.feec.cat/activitats/100-cims/cim/tagamanent/" TargetMode="External" Id="rId1031"/><Relationship Type="http://schemas.openxmlformats.org/officeDocument/2006/relationships/hyperlink" Target="https://www.google.com/maps/search/?api=1&amp;query=41.747480,2.296020" TargetMode="External" Id="rId1032"/><Relationship Type="http://schemas.openxmlformats.org/officeDocument/2006/relationships/hyperlink" Target="https://www.feec.cat/activitats/100-cims/cim/pic-del-vent/" TargetMode="External" Id="rId1033"/><Relationship Type="http://schemas.openxmlformats.org/officeDocument/2006/relationships/hyperlink" Target="https://www.google.com/maps/search/?api=1&amp;query=41.655300,2.128300" TargetMode="External" Id="rId1034"/><Relationship Type="http://schemas.openxmlformats.org/officeDocument/2006/relationships/hyperlink" Target="https://www.feec.cat/activitats/100-cims/cim/puiggracios/" TargetMode="External" Id="rId1035"/><Relationship Type="http://schemas.openxmlformats.org/officeDocument/2006/relationships/hyperlink" Target="https://www.google.com/maps/search/?api=1&amp;query=41.702670,2.241190" TargetMode="External" Id="rId1036"/><Relationship Type="http://schemas.openxmlformats.org/officeDocument/2006/relationships/hyperlink" Target="https://www.feec.cat/activitats/100-cims/cim/la-soca/" TargetMode="External" Id="rId1037"/><Relationship Type="http://schemas.openxmlformats.org/officeDocument/2006/relationships/hyperlink" Target="https://www.google.com/maps/search/?api=1&amp;query=42.460070,2.537150" TargetMode="External" Id="rId1038"/><Relationship Type="http://schemas.openxmlformats.org/officeDocument/2006/relationships/hyperlink" Target="https://www.feec.cat/activitats/100-cims/cim/torres-de-cabrenc/" TargetMode="External" Id="rId1039"/><Relationship Type="http://schemas.openxmlformats.org/officeDocument/2006/relationships/hyperlink" Target="https://www.google.com/maps/search/?api=1&amp;query=42.364570,2.542170" TargetMode="External" Id="rId1040"/><Relationship Type="http://schemas.openxmlformats.org/officeDocument/2006/relationships/hyperlink" Target="https://www.feec.cat/activitats/100-cims/cim/pilo-de-bellmaig/" TargetMode="External" Id="rId1041"/><Relationship Type="http://schemas.openxmlformats.org/officeDocument/2006/relationships/hyperlink" Target="https://www.google.com/maps/search/?api=1&amp;query=42.432060,2.650710" TargetMode="External" Id="rId1042"/><Relationship Type="http://schemas.openxmlformats.org/officeDocument/2006/relationships/hyperlink" Target="https://www.feec.cat/activitats/100-cims/cim/roc-de-sant-salvador/" TargetMode="External" Id="rId1043"/><Relationship Type="http://schemas.openxmlformats.org/officeDocument/2006/relationships/hyperlink" Target="https://www.google.com/maps/search/?api=1&amp;query=42.427340,2.694580" TargetMode="External" Id="rId1044"/><Relationship Type="http://schemas.openxmlformats.org/officeDocument/2006/relationships/table" Target="/xl/tables/table2.xml" Id="rId1045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google.com/maps/search/?api=1&amp;query=45.832800,6.865000" TargetMode="External" Id="rId1"/><Relationship Type="http://schemas.openxmlformats.org/officeDocument/2006/relationships/hyperlink" Target="https://www.google.com/maps/search/?api=1&amp;query=45.828900,6.869400" TargetMode="External" Id="rId2"/><Relationship Type="http://schemas.openxmlformats.org/officeDocument/2006/relationships/hyperlink" Target="https://www.google.com/maps/search/?api=1&amp;query=45.832780,6.859440" TargetMode="External" Id="rId3"/><Relationship Type="http://schemas.openxmlformats.org/officeDocument/2006/relationships/hyperlink" Target="https://www.google.com/maps/search/?api=1&amp;query=45.936800,7.867100" TargetMode="External" Id="rId4"/><Relationship Type="http://schemas.openxmlformats.org/officeDocument/2006/relationships/hyperlink" Target="https://www.google.com/maps/search/?api=1&amp;query=45.936750,7.868000" TargetMode="External" Id="rId5"/><Relationship Type="http://schemas.openxmlformats.org/officeDocument/2006/relationships/hyperlink" Target="https://www.google.com/maps/search/?api=1&amp;query=45.942200,7.870000" TargetMode="External" Id="rId6"/><Relationship Type="http://schemas.openxmlformats.org/officeDocument/2006/relationships/hyperlink" Target="https://www.google.com/maps/search/?api=1&amp;query=45.931900,7.871400" TargetMode="External" Id="rId7"/><Relationship Type="http://schemas.openxmlformats.org/officeDocument/2006/relationships/hyperlink" Target="https://www.google.com/maps/search/?api=1&amp;query=45.927200,7.876900" TargetMode="External" Id="rId8"/><Relationship Type="http://schemas.openxmlformats.org/officeDocument/2006/relationships/hyperlink" Target="https://www.google.com/maps/search/?api=1&amp;query=45.835028,6.856078" TargetMode="External" Id="rId9"/><Relationship Type="http://schemas.openxmlformats.org/officeDocument/2006/relationships/hyperlink" Target="https://www.google.com/maps/search/?api=1&amp;query=46.095000,7.860000" TargetMode="External" Id="rId10"/><Relationship Type="http://schemas.openxmlformats.org/officeDocument/2006/relationships/hyperlink" Target="https://www.google.com/maps/search/?api=1&amp;query=45.922500,7.835600" TargetMode="External" Id="rId11"/><Relationship Type="http://schemas.openxmlformats.org/officeDocument/2006/relationships/hyperlink" Target="https://www.google.com/maps/search/?api=1&amp;query=46.101700,7.716100" TargetMode="External" Id="rId12"/><Relationship Type="http://schemas.openxmlformats.org/officeDocument/2006/relationships/hyperlink" Target="https://www.google.com/maps/search/?api=1&amp;query=46.083600,7.857200" TargetMode="External" Id="rId13"/><Relationship Type="http://schemas.openxmlformats.org/officeDocument/2006/relationships/hyperlink" Target="https://www.google.com/maps/search/?api=1&amp;query=45.926500,7.823300" TargetMode="External" Id="rId14"/><Relationship Type="http://schemas.openxmlformats.org/officeDocument/2006/relationships/hyperlink" Target="https://www.google.com/maps/search/?api=1&amp;query=45.976400,7.658600" TargetMode="External" Id="rId15"/><Relationship Type="http://schemas.openxmlformats.org/officeDocument/2006/relationships/hyperlink" Target="https://www.google.com/maps/search/?api=1&amp;query=45.824400,6.868200" TargetMode="External" Id="rId16"/><Relationship Type="http://schemas.openxmlformats.org/officeDocument/2006/relationships/hyperlink" Target="https://www.google.com/maps/search/?api=1&amp;query=45.847800,6.875800" TargetMode="External" Id="rId17"/><Relationship Type="http://schemas.openxmlformats.org/officeDocument/2006/relationships/hyperlink" Target="https://www.google.com/maps/search/?api=1&amp;query=45.919700,7.871400" TargetMode="External" Id="rId18"/><Relationship Type="http://schemas.openxmlformats.org/officeDocument/2006/relationships/hyperlink" Target="https://www.google.com/maps/search/?api=1&amp;query=46.034200,7.611900" TargetMode="External" Id="rId19"/><Relationship Type="http://schemas.openxmlformats.org/officeDocument/2006/relationships/hyperlink" Target="https://www.google.com/maps/search/?api=1&amp;query=45.917200,7.862200" TargetMode="External" Id="rId20"/><Relationship Type="http://schemas.openxmlformats.org/officeDocument/2006/relationships/hyperlink" Target="https://www.google.com/maps/search/?api=1&amp;query=46.108300,7.712700" TargetMode="External" Id="rId21"/><Relationship Type="http://schemas.openxmlformats.org/officeDocument/2006/relationships/hyperlink" Target="https://www.google.com/maps/search/?api=1&amp;query=46.108800,7.864200" TargetMode="External" Id="rId22"/><Relationship Type="http://schemas.openxmlformats.org/officeDocument/2006/relationships/hyperlink" Target="https://www.google.com/maps/search/?api=1&amp;query=45.914900,7.862000" TargetMode="External" Id="rId23"/><Relationship Type="http://schemas.openxmlformats.org/officeDocument/2006/relationships/hyperlink" Target="https://www.google.com/maps/search/?api=1&amp;query=45.937500,7.299200" TargetMode="External" Id="rId24"/><Relationship Type="http://schemas.openxmlformats.org/officeDocument/2006/relationships/hyperlink" Target="https://www.google.com/maps/search/?api=1&amp;query=45.842800,6.843300" TargetMode="External" Id="rId25"/><Relationship Type="http://schemas.openxmlformats.org/officeDocument/2006/relationships/hyperlink" Target="https://www.google.com/maps/search/?api=1&amp;query=46.104600,7.868400" TargetMode="External" Id="rId26"/><Relationship Type="http://schemas.openxmlformats.org/officeDocument/2006/relationships/hyperlink" Target="https://www.google.com/maps/search/?api=1&amp;query=45.850457,6.872121" TargetMode="External" Id="rId27"/><Relationship Type="http://schemas.openxmlformats.org/officeDocument/2006/relationships/hyperlink" Target="https://www.google.com/maps/search/?api=1&amp;query=46.537500,8.126000" TargetMode="External" Id="rId28"/><Relationship Type="http://schemas.openxmlformats.org/officeDocument/2006/relationships/hyperlink" Target="https://www.google.com/maps/search/?api=1&amp;query=45.916671,7.835355" TargetMode="External" Id="rId29"/><Relationship Type="http://schemas.openxmlformats.org/officeDocument/2006/relationships/hyperlink" Target="https://www.google.com/maps/search/?api=1&amp;query=45.846390,6.843890" TargetMode="External" Id="rId30"/><Relationship Type="http://schemas.openxmlformats.org/officeDocument/2006/relationships/hyperlink" Target="https://www.google.com/maps/search/?api=1&amp;query=45.856400,6.887800" TargetMode="External" Id="rId31"/><Relationship Type="http://schemas.openxmlformats.org/officeDocument/2006/relationships/hyperlink" Target="https://www.google.com/maps/search/?api=1&amp;query=45.827800,6.880000" TargetMode="External" Id="rId32"/><Relationship Type="http://schemas.openxmlformats.org/officeDocument/2006/relationships/hyperlink" Target="https://www.google.com/maps/search/?api=1&amp;query=45.940819,7.301059" TargetMode="External" Id="rId33"/><Relationship Type="http://schemas.openxmlformats.org/officeDocument/2006/relationships/hyperlink" Target="https://www.google.com/maps/search/?api=1&amp;query=46.111500,7.859700" TargetMode="External" Id="rId34"/><Relationship Type="http://schemas.openxmlformats.org/officeDocument/2006/relationships/hyperlink" Target="https://www.google.com/maps/search/?api=1&amp;query=45.974944,7.654389" TargetMode="External" Id="rId35"/><Relationship Type="http://schemas.openxmlformats.org/officeDocument/2006/relationships/hyperlink" Target="https://www.google.com/maps/search/?api=1&amp;query=45.922200,7.792800" TargetMode="External" Id="rId36"/><Relationship Type="http://schemas.openxmlformats.org/officeDocument/2006/relationships/hyperlink" Target="https://www.google.com/maps/search/?api=1&amp;query=46.064700,7.690000" TargetMode="External" Id="rId37"/><Relationship Type="http://schemas.openxmlformats.org/officeDocument/2006/relationships/hyperlink" Target="https://www.google.com/maps/search/?api=1&amp;query=46.112700,7.853900" TargetMode="External" Id="rId38"/><Relationship Type="http://schemas.openxmlformats.org/officeDocument/2006/relationships/hyperlink" Target="https://www.google.com/maps/search/?api=1&amp;query=45.907800,7.861900" TargetMode="External" Id="rId39"/><Relationship Type="http://schemas.openxmlformats.org/officeDocument/2006/relationships/hyperlink" Target="https://www.google.com/maps/search/?api=1&amp;query=45.868900,6.988100" TargetMode="External" Id="rId40"/><Relationship Type="http://schemas.openxmlformats.org/officeDocument/2006/relationships/hyperlink" Target="https://www.google.com/maps/search/?api=1&amp;query=46.062900,7.863900" TargetMode="External" Id="rId41"/><Relationship Type="http://schemas.openxmlformats.org/officeDocument/2006/relationships/hyperlink" Target="https://www.google.com/maps/search/?api=1&amp;query=46.023060,7.883890" TargetMode="External" Id="rId42"/><Relationship Type="http://schemas.openxmlformats.org/officeDocument/2006/relationships/hyperlink" Target="https://www.google.com/maps/search/?api=1&amp;query=46.465100,7.993660" TargetMode="External" Id="rId43"/><Relationship Type="http://schemas.openxmlformats.org/officeDocument/2006/relationships/hyperlink" Target="https://www.google.com/maps/search/?api=1&amp;query=46.013220,7.901750" TargetMode="External" Id="rId44"/><Relationship Type="http://schemas.openxmlformats.org/officeDocument/2006/relationships/hyperlink" Target="https://www.google.com/maps/search/?api=1&amp;query=45.975194,7.660944" TargetMode="External" Id="rId45"/><Relationship Type="http://schemas.openxmlformats.org/officeDocument/2006/relationships/hyperlink" Target="https://www.google.com/maps/search/?api=1&amp;query=45.938050,7.290280" TargetMode="External" Id="rId46"/><Relationship Type="http://schemas.openxmlformats.org/officeDocument/2006/relationships/hyperlink" Target="https://www.google.com/maps/search/?api=1&amp;query=45.868600,6.984940" TargetMode="External" Id="rId47"/><Relationship Type="http://schemas.openxmlformats.org/officeDocument/2006/relationships/hyperlink" Target="https://www.google.com/maps/search/?api=1&amp;query=45.921028,7.851694" TargetMode="External" Id="rId48"/><Relationship Type="http://schemas.openxmlformats.org/officeDocument/2006/relationships/hyperlink" Target="https://www.google.com/maps/search/?api=1&amp;query=45.970060,7.605080" TargetMode="External" Id="rId49"/><Relationship Type="http://schemas.openxmlformats.org/officeDocument/2006/relationships/hyperlink" Target="https://www.google.com/maps/search/?api=1&amp;query=45.913836,7.858134" TargetMode="External" Id="rId50"/><Relationship Type="http://schemas.openxmlformats.org/officeDocument/2006/relationships/hyperlink" Target="https://www.google.com/maps/search/?api=1&amp;query=45.941110,7.747220" TargetMode="External" Id="rId51"/><Relationship Type="http://schemas.openxmlformats.org/officeDocument/2006/relationships/hyperlink" Target="https://www.google.com/maps/search/?api=1&amp;query=45.938890,7.756390" TargetMode="External" Id="rId52"/><Relationship Type="http://schemas.openxmlformats.org/officeDocument/2006/relationships/hyperlink" Target="https://www.google.com/maps/search/?api=1&amp;query=46.536810,7.962640" TargetMode="External" Id="rId53"/><Relationship Type="http://schemas.openxmlformats.org/officeDocument/2006/relationships/hyperlink" Target="https://www.google.com/maps/search/?api=1&amp;query=46.117780,7.714720" TargetMode="External" Id="rId54"/><Relationship Type="http://schemas.openxmlformats.org/officeDocument/2006/relationships/hyperlink" Target="https://www.google.com/maps/search/?api=1&amp;query=45.937220,7.767220" TargetMode="External" Id="rId55"/><Relationship Type="http://schemas.openxmlformats.org/officeDocument/2006/relationships/hyperlink" Target="https://www.google.com/maps/search/?api=1&amp;query=45.942930,7.311120" TargetMode="External" Id="rId56"/><Relationship Type="http://schemas.openxmlformats.org/officeDocument/2006/relationships/hyperlink" Target="https://www.google.com/maps/search/?api=1&amp;query=46.118703,7.717973" TargetMode="External" Id="rId57"/><Relationship Type="http://schemas.openxmlformats.org/officeDocument/2006/relationships/hyperlink" Target="https://www.google.com/maps/search/?api=1&amp;query=45.934720,6.970000" TargetMode="External" Id="rId58"/><Relationship Type="http://schemas.openxmlformats.org/officeDocument/2006/relationships/hyperlink" Target="https://www.google.com/maps/search/?api=1&amp;query=45.854720,6.890280" TargetMode="External" Id="rId59"/><Relationship Type="http://schemas.openxmlformats.org/officeDocument/2006/relationships/hyperlink" Target="https://www.google.com/maps/search/?api=1&amp;query=45.824440,6.882780" TargetMode="External" Id="rId60"/><Relationship Type="http://schemas.openxmlformats.org/officeDocument/2006/relationships/hyperlink" Target="https://www.google.com/maps/search/?api=1&amp;query=45.869100,6.982370" TargetMode="External" Id="rId61"/><Relationship Type="http://schemas.openxmlformats.org/officeDocument/2006/relationships/hyperlink" Target="https://www.google.com/maps/search/?api=1&amp;query=45.854480,6.891660" TargetMode="External" Id="rId62"/><Relationship Type="http://schemas.openxmlformats.org/officeDocument/2006/relationships/hyperlink" Target="https://www.google.com/maps/search/?api=1&amp;query=46.558330,7.997220" TargetMode="External" Id="rId63"/><Relationship Type="http://schemas.openxmlformats.org/officeDocument/2006/relationships/hyperlink" Target="https://www.google.com/maps/search/?api=1&amp;query=45.849062,6.883643" TargetMode="External" Id="rId64"/><Relationship Type="http://schemas.openxmlformats.org/officeDocument/2006/relationships/hyperlink" Target="https://www.google.com/maps/search/?api=1&amp;query=45.935830,7.770560" TargetMode="External" Id="rId65"/><Relationship Type="http://schemas.openxmlformats.org/officeDocument/2006/relationships/hyperlink" Target="https://www.google.com/maps/search/?api=1&amp;query=45.934440,6.972780" TargetMode="External" Id="rId66"/><Relationship Type="http://schemas.openxmlformats.org/officeDocument/2006/relationships/hyperlink" Target="https://www.google.com/maps/search/?api=1&amp;query=44.922500,6.360000" TargetMode="External" Id="rId67"/><Relationship Type="http://schemas.openxmlformats.org/officeDocument/2006/relationships/hyperlink" Target="https://www.google.com/maps/search/?api=1&amp;query=45.854480,6.891940" TargetMode="External" Id="rId68"/><Relationship Type="http://schemas.openxmlformats.org/officeDocument/2006/relationships/hyperlink" Target="https://www.google.com/maps/search/?api=1&amp;query=45.916638,7.803886" TargetMode="External" Id="rId69"/><Relationship Type="http://schemas.openxmlformats.org/officeDocument/2006/relationships/hyperlink" Target="https://www.google.com/maps/search/?api=1&amp;query=45.927780,7.785280" TargetMode="External" Id="rId70"/><Relationship Type="http://schemas.openxmlformats.org/officeDocument/2006/relationships/hyperlink" Target="https://www.google.com/maps/search/?api=1&amp;query=46.539611,7.963361" TargetMode="External" Id="rId71"/><Relationship Type="http://schemas.openxmlformats.org/officeDocument/2006/relationships/hyperlink" Target="https://www.google.com/maps/search/?api=1&amp;query=46.589970,8.118140" TargetMode="External" Id="rId72"/><Relationship Type="http://schemas.openxmlformats.org/officeDocument/2006/relationships/hyperlink" Target="https://www.google.com/maps/search/?api=1&amp;query=45.932500,7.775280" TargetMode="External" Id="rId73"/><Relationship Type="http://schemas.openxmlformats.org/officeDocument/2006/relationships/hyperlink" Target="https://www.google.com/maps/search/?api=1&amp;query=45.854170,6.892860" TargetMode="External" Id="rId74"/><Relationship Type="http://schemas.openxmlformats.org/officeDocument/2006/relationships/hyperlink" Target="https://www.google.com/maps/search/?api=1&amp;query=45.817500,6.865000" TargetMode="External" Id="rId75"/><Relationship Type="http://schemas.openxmlformats.org/officeDocument/2006/relationships/hyperlink" Target="https://www.google.com/maps/search/?api=1&amp;query=45.868580,6.977900" TargetMode="External" Id="rId76"/><Relationship Type="http://schemas.openxmlformats.org/officeDocument/2006/relationships/hyperlink" Target="https://www.google.com/maps/search/?api=1&amp;query=45.854340,6.893340" TargetMode="External" Id="rId77"/><Relationship Type="http://schemas.openxmlformats.org/officeDocument/2006/relationships/hyperlink" Target="https://www.google.com/maps/search/?api=1&amp;query=46.038330,7.667780" TargetMode="External" Id="rId78"/><Relationship Type="http://schemas.openxmlformats.org/officeDocument/2006/relationships/hyperlink" Target="https://www.google.com/maps/search/?api=1&amp;query=45.514440,7.269720" TargetMode="External" Id="rId79"/><Relationship Type="http://schemas.openxmlformats.org/officeDocument/2006/relationships/hyperlink" Target="https://www.google.com/maps/search/?api=1&amp;query=45.851026,6.850169" TargetMode="External" Id="rId80"/><Relationship Type="http://schemas.openxmlformats.org/officeDocument/2006/relationships/hyperlink" Target="https://www.google.com/maps/search/?api=1&amp;query=45.835830,6.818060" TargetMode="External" Id="rId81"/><Relationship Type="http://schemas.openxmlformats.org/officeDocument/2006/relationships/hyperlink" Target="https://www.google.com/maps/search/?api=1&amp;query=46.382220,9.908060" TargetMode="External" Id="rId82"/><Relationship Type="http://schemas.openxmlformats.org/officeDocument/2006/relationships/hyperlink" Target="https://www.google.com/maps/search/?api=1&amp;query=46.551381,8.061325" TargetMode="External" Id="rId83"/><Relationship Type="http://schemas.openxmlformats.org/officeDocument/2006/relationships/hyperlink" Target="https://www.google.com/maps/search/?api=1&amp;query=45.906287,7.866389" TargetMode="External" Id="rId84"/><Relationship Type="http://schemas.openxmlformats.org/officeDocument/2006/relationships/hyperlink" Target="https://www.google.com/maps/search/?api=1&amp;query=45.868757,6.979340" TargetMode="External" Id="rId85"/><Relationship Type="http://schemas.openxmlformats.org/officeDocument/2006/relationships/hyperlink" Target="https://www.google.com/maps/search/?api=1&amp;query=46.531889,8.077722" TargetMode="External" Id="rId86"/><Relationship Type="http://schemas.openxmlformats.org/officeDocument/2006/relationships/hyperlink" Target="https://www.google.com/maps/search/?api=1&amp;query=46.583389,8.128417" TargetMode="External" Id="rId87"/><Relationship Type="http://schemas.openxmlformats.org/officeDocument/2006/relationships/hyperlink" Target="https://www.google.com/maps/search/?api=1&amp;query=45.821849,6.874492" TargetMode="External" Id="rId88"/><Relationship Type="http://schemas.openxmlformats.org/officeDocument/2006/relationships/hyperlink" Target="https://www.google.com/maps/search/?api=1&amp;query=45.933890,6.975830" TargetMode="External" Id="rId89"/><Relationship Type="http://schemas.openxmlformats.org/officeDocument/2006/relationships/hyperlink" Target="https://www.google.com/maps/search/?api=1&amp;query=46.119720,7.848060" TargetMode="External" Id="rId90"/><Relationship Type="http://schemas.openxmlformats.org/officeDocument/2006/relationships/hyperlink" Target="https://www.google.com/maps/search/?api=1&amp;query=46.046139,7.894806" TargetMode="External" Id="rId91"/><Relationship Type="http://schemas.openxmlformats.org/officeDocument/2006/relationships/hyperlink" Target="https://www.google.com/maps/search/?api=1&amp;query=45.515566,7.269493" TargetMode="External" Id="rId92"/><Relationship Type="http://schemas.openxmlformats.org/officeDocument/2006/relationships/hyperlink" Target="https://www.google.com/maps/search/?api=1&amp;query=46.546300,8.067700" TargetMode="External" Id="rId93"/><Relationship Type="http://schemas.openxmlformats.org/officeDocument/2006/relationships/hyperlink" Target="https://www.google.com/maps/search/?api=1&amp;query=45.934427,6.965405" TargetMode="External" Id="rId94"/><Relationship Type="http://schemas.openxmlformats.org/officeDocument/2006/relationships/hyperlink" Target="https://www.google.com/maps/search/?api=1&amp;query=46.380972,9.907444" TargetMode="External" Id="rId95"/><Relationship Type="http://schemas.openxmlformats.org/officeDocument/2006/relationships/hyperlink" Target="https://www.google.com/maps/search/?api=1&amp;query=46.127780,8.011940" TargetMode="External" Id="rId96"/><Relationship Type="http://schemas.openxmlformats.org/officeDocument/2006/relationships/hyperlink" Target="https://www.google.com/maps/search/?api=1&amp;query=46.069363,7.687437" TargetMode="External" Id="rId97"/><Relationship Type="http://schemas.openxmlformats.org/officeDocument/2006/relationships/hyperlink" Target="https://www.google.com/maps/search/?api=1&amp;query=45.864170,6.967500" TargetMode="External" Id="rId98"/><Relationship Type="http://schemas.openxmlformats.org/officeDocument/2006/relationships/hyperlink" Target="https://www.google.com/maps/search/?api=1&amp;query=44.924280,6.354090" TargetMode="External" Id="rId99"/><Relationship Type="http://schemas.openxmlformats.org/officeDocument/2006/relationships/hyperlink" Target="https://www.google.com/maps/search/?api=1&amp;query=45.861940,6.951670" TargetMode="External" Id="rId100"/><Relationship Type="http://schemas.openxmlformats.org/officeDocument/2006/relationships/hyperlink" Target="https://www.google.com/maps/search/?api=1&amp;query=45.814440,6.863330" TargetMode="External" Id="rId101"/><Relationship Type="http://schemas.openxmlformats.org/officeDocument/2006/relationships/hyperlink" Target="https://www.google.com/maps/search/?api=1&amp;query=46.157220,8.003060" TargetMode="External" Id="rId102"/><Relationship Type="http://schemas.openxmlformats.org/officeDocument/2006/relationships/hyperlink" Target="https://www.google.com/maps/search/?api=1&amp;query=45.837232,6.830449" TargetMode="External" Id="rId103"/><Relationship Type="http://schemas.openxmlformats.org/officeDocument/2006/relationships/hyperlink" Target="https://www.google.com/maps/search/?api=1&amp;query=45.861940,6.960000" TargetMode="External" Id="rId104"/><Relationship Type="http://schemas.openxmlformats.org/officeDocument/2006/relationships/hyperlink" Target="https://www.google.com/maps/search/?api=1&amp;query=45.933060,6.989170" TargetMode="External" Id="rId105"/><Relationship Type="http://schemas.openxmlformats.org/officeDocument/2006/relationships/table" Target="/xl/tables/table5.xml" Id="rId106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tabColor rgb="00B9A7E6"/>
    <outlinePr summaryBelow="1" summaryRight="1"/>
    <pageSetUpPr/>
  </sheetPr>
  <dimension ref="B1:P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3" customWidth="1" min="10" max="10"/>
    <col width="26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34" customHeight="1">
      <c r="B1" s="1" t="inlineStr">
        <is>
          <t>Seguiment de cims · 100 Cims FEEC, tresmils i sostres</t>
        </is>
      </c>
    </row>
    <row r="2">
      <c r="B2" s="2" t="inlineStr">
        <is>
          <t>Repte FEEC: calen 100 dels 150 «essencials» (des de l'1/7/2019); després compten tots els cims per als reptes 2×100, 3×100… Tresmils: llista UIAA de 212. Generat per l'app Cims.</t>
        </is>
      </c>
    </row>
    <row r="4" ht="44" customHeight="1">
      <c r="B4" s="3" t="inlineStr">
        <is>
          <t>100 Cims FEEC</t>
        </is>
      </c>
      <c r="C4" s="4" t="inlineStr">
        <is>
          <t>Essencials assolits</t>
        </is>
      </c>
      <c r="D4" s="5">
        <f>"Falten per als "&amp;IF(C5&lt;100,100,(INT(G5/100)+1)*100)</f>
        <v/>
      </c>
      <c r="E4" s="6" t="inlineStr">
        <is>
          <t>Progrés del repte (centenes)</t>
        </is>
      </c>
      <c r="F4" s="7" t="inlineStr">
        <is>
          <t>No essencials assolits</t>
        </is>
      </c>
      <c r="G4" s="8" t="inlineStr">
        <is>
          <t>Total cims FEEC assolits</t>
        </is>
      </c>
      <c r="H4" s="7" t="inlineStr">
        <is>
          <t>% del total FEEC</t>
        </is>
      </c>
      <c r="I4" s="9" t="inlineStr">
        <is>
          <t>Punts</t>
        </is>
      </c>
    </row>
    <row r="5" ht="42" customHeight="1">
      <c r="C5" s="10">
        <f>COUNTIFS('100 Cims FEEC'!$E$5:$E$526,"Essencial",'100 Cims FEEC'!$G$5:$G$526,"Sí")</f>
        <v/>
      </c>
      <c r="D5" s="11">
        <f>IF(C5&lt;100,100-C5,IF(C5&lt;100,100,(INT(G5/100)+1)*100)-G5)</f>
        <v/>
      </c>
      <c r="E5" s="12">
        <f>IF(C5&lt;100,C5/100,G5/100)</f>
        <v/>
      </c>
      <c r="F5" s="13">
        <f>COUNTIFS('100 Cims FEEC'!$E$5:$E$526,"No essencial",'100 Cims FEEC'!$G$5:$G$526,"Sí")</f>
        <v/>
      </c>
      <c r="G5" s="14">
        <f>C5+F5</f>
        <v/>
      </c>
      <c r="H5" s="15">
        <f>G5/COUNTA('100 Cims FEEC'!$E$5:$E$526)</f>
        <v/>
      </c>
      <c r="I5" s="16">
        <f>COUNTA('Els meus punts'!$B$5:$B$6)</f>
        <v/>
      </c>
    </row>
    <row r="7">
      <c r="B7" s="17">
        <f>"Progrés cap als "&amp;IF(C5&lt;100,100,(INT(G5/100)+1)*100)</f>
        <v/>
      </c>
      <c r="C7" s="18">
        <f>REPT("█",ROUND((IF(C5&lt;100,C5/100,MOD(G5,100)/100))*30,0))&amp;REPT("░",30-ROUND((IF(C5&lt;100,C5/100,MOD(G5,100)/100))*30,0))&amp;"  "&amp;TEXT(IF(C5&lt;100,C5/100,MOD(G5,100)/100),"0%")&amp;IF(C5&lt;100,"  ("&amp;C5&amp;" de 100 essencials)","  ("&amp;MOD(G5,100)&amp;" de 100 cap als "&amp;IF(C5&lt;100,100,(INT(G5/100)+1)*100)&amp;")")</f>
        <v/>
      </c>
    </row>
    <row r="8" ht="18" customHeight="1">
      <c r="B8" s="17" t="inlineStr">
        <is>
          <t>Sobre el total FEEC (522)</t>
        </is>
      </c>
      <c r="C8" s="19">
        <f>REPT("█",ROUND((H5)*30,0))&amp;REPT("░",30-ROUND((H5)*30,0))&amp;"  "&amp;TEXT((H5),"0%")</f>
        <v/>
      </c>
    </row>
    <row r="9" ht="26" customHeight="1">
      <c r="B9" s="20" t="inlineStr">
        <is>
          <t>Detall</t>
        </is>
      </c>
      <c r="C9" s="20">
        <f>C5&amp;" de "&amp;COUNTIF('100 Cims FEEC'!$E$5:$E$526,"Essencial")&amp;" essencials · "&amp;G5&amp;" de "&amp;COUNTA('100 Cims FEEC'!$E$5:$E$526)&amp;" cims de la llista"&amp;IF(C5&gt;=100," · repte dels 100 superat","")</f>
        <v/>
      </c>
    </row>
    <row r="11" ht="44" customHeight="1">
      <c r="B11" s="21" t="inlineStr">
        <is>
          <t>Tresmils i sostres</t>
        </is>
      </c>
      <c r="C11" s="7" t="inlineStr">
        <is>
          <t>UIAA principals assolits</t>
        </is>
      </c>
      <c r="D11" s="8" t="inlineStr">
        <is>
          <t>UIAA secundaris assolits</t>
        </is>
      </c>
      <c r="E11" s="7" t="inlineStr">
        <is>
          <t>Total 3000 UIAA assolits</t>
        </is>
      </c>
      <c r="F11" s="7" t="inlineStr">
        <is>
          <t>% dels 212 UIAA</t>
        </is>
      </c>
      <c r="G11" s="22" t="inlineStr">
        <is>
          <t>3000 catalans assolits (de 13)</t>
        </is>
      </c>
      <c r="H11" s="22" t="inlineStr">
        <is>
          <t>% 3000 catalans</t>
        </is>
      </c>
      <c r="I11" s="8" t="inlineStr">
        <is>
          <t>Sostres comarcals (de 43)</t>
        </is>
      </c>
    </row>
    <row r="12" ht="42" customHeight="1">
      <c r="C12" s="13">
        <f>COUNTIFS('3000 Pirineu'!$E$5:$E$219,"Principal",'3000 Pirineu'!$G$5:$G$219,"Sí")</f>
        <v/>
      </c>
      <c r="D12" s="14">
        <f>COUNTIFS('3000 Pirineu'!$E$5:$E$219,"Secundari",'3000 Pirineu'!$G$5:$G$219,"Sí")</f>
        <v/>
      </c>
      <c r="E12" s="13">
        <f>C12+D12</f>
        <v/>
      </c>
      <c r="F12" s="15">
        <f>E12/(COUNTIF('3000 Pirineu'!$E$5:$E$219,"Principal")+COUNTIF('3000 Pirineu'!$E$5:$E$219,"Secundari"))</f>
        <v/>
      </c>
      <c r="G12" s="23">
        <f>COUNTIFS('3000 Pirineu català'!$G$5:$G$20,"Sí",'3000 Pirineu català'!$D$5:$D$20,"Vigent")</f>
        <v/>
      </c>
      <c r="H12" s="24">
        <f>G12/COUNTIF('3000 Pirineu català'!$D$5:$D$20,"Vigent")</f>
        <v/>
      </c>
      <c r="I12" s="14">
        <f>COUNTIF('Sostres comarcals'!$G$5:$G$47,"Sí")</f>
        <v/>
      </c>
    </row>
    <row r="14" ht="18" customHeight="1">
      <c r="B14" s="17" t="inlineStr">
        <is>
          <t>Progrés 3000 UIAA (212)</t>
        </is>
      </c>
      <c r="C14" s="19">
        <f>REPT("█",ROUND((F12)*30,0))&amp;REPT("░",30-ROUND((F12)*30,0))&amp;"  "&amp;TEXT((F12),"0%")</f>
        <v/>
      </c>
    </row>
    <row r="15" ht="18" customHeight="1">
      <c r="B15" s="17" t="inlineStr">
        <is>
          <t>Progrés 3000 catalans (13)</t>
        </is>
      </c>
      <c r="C15" s="25">
        <f>REPT("█",ROUND((H12)*30,0))&amp;REPT("░",30-ROUND((H12)*30,0))&amp;"  "&amp;TEXT((H12),"0%")</f>
        <v/>
      </c>
    </row>
    <row r="16" ht="18" customHeight="1">
      <c r="B16" s="17" t="inlineStr">
        <is>
          <t>Progrés sostres comarcals (43)</t>
        </is>
      </c>
      <c r="C16" s="26">
        <f>REPT("█",ROUND((I12/COUNTA('Sostres comarcals'!$A$5:$A$47))*30,0))&amp;REPT("░",30-ROUND((I12/COUNTA('Sostres comarcals'!$A$5:$A$47))*30,0))&amp;"  "&amp;TEXT((I12/COUNTA('Sostres comarcals'!$A$5:$A$47)),"0%")</f>
        <v/>
      </c>
    </row>
    <row r="17" ht="26" customHeight="1">
      <c r="B17" s="20" t="inlineStr">
        <is>
          <t>Detall</t>
        </is>
      </c>
      <c r="C17" s="20">
        <f>C12&amp;" de "&amp;COUNTIF('3000 Pirineu'!$E$5:$E$219,"Principal")&amp;" principals · "&amp;D12&amp;" de "&amp;COUNTIF('3000 Pirineu'!$E$5:$E$219,"Secundari")&amp;" secundaris · "&amp;G12&amp;" de "&amp;COUNTIF('3000 Pirineu català'!$D$5:$D$20,"Vigent")&amp;" tresmils catalans · "&amp;I12&amp;" de "&amp;COUNTA('Sostres comarcals'!$A$5:$A$47)&amp;" sostres comarcals"</f>
        <v/>
      </c>
    </row>
    <row r="18" ht="18" customHeight="1">
      <c r="B18" s="17" t="inlineStr">
        <is>
          <t>Progrés 4000 Alps (128)</t>
        </is>
      </c>
      <c r="C18" s="27">
        <f>REPT("█",ROUND((COUNTIF('4000 Alps'!$G$5:$G$132,"Sí")/COUNTA('4000 Alps'!$B$5:$B$132))*30,0))&amp;REPT("░",30-ROUND((COUNTIF('4000 Alps'!$G$5:$G$132,"Sí")/COUNTA('4000 Alps'!$B$5:$B$132))*30,0))&amp;"  "&amp;TEXT((COUNTIF('4000 Alps'!$G$5:$G$132,"Sí")/COUNTA('4000 Alps'!$B$5:$B$132)),"0%")&amp;"  ("&amp;COUNTIFS('4000 Alps'!$F$5:$F$132,"Principal",'4000 Alps'!$G$5:$G$132,"Sí")&amp;" de 82 principals · "&amp;COUNTIF('4000 Alps'!$G$5:$G$132,"Sí")&amp;" de 128 en total)"</f>
        <v/>
      </c>
    </row>
    <row r="20">
      <c r="B20" s="28" t="inlineStr">
        <is>
          <t>Per comarca principal</t>
        </is>
      </c>
      <c r="K20" s="28" t="inlineStr">
        <is>
          <t>Punts per grup</t>
        </is>
      </c>
    </row>
    <row r="21" ht="32" customHeight="1">
      <c r="B21" s="29" t="inlineStr">
        <is>
          <t>Comarca principal</t>
        </is>
      </c>
      <c r="C21" s="29" t="inlineStr">
        <is>
          <t>Cims a la llista</t>
        </is>
      </c>
      <c r="D21" s="30" t="inlineStr">
        <is>
          <t>Essencials</t>
        </is>
      </c>
      <c r="E21" s="30" t="inlineStr">
        <is>
          <t>Essencials assolits</t>
        </is>
      </c>
      <c r="F21" s="30" t="inlineStr">
        <is>
          <t>Essencials pendents</t>
        </is>
      </c>
      <c r="G21" s="29" t="inlineStr">
        <is>
          <t>No essencials assolits</t>
        </is>
      </c>
      <c r="H21" s="29" t="inlineStr">
        <is>
          <t>% essencials fets</t>
        </is>
      </c>
      <c r="K21" s="31" t="inlineStr">
        <is>
          <t>Grup</t>
        </is>
      </c>
      <c r="L21" s="31" t="inlineStr">
        <is>
          <t>Punts</t>
        </is>
      </c>
      <c r="M21" s="31" t="inlineStr">
        <is>
          <t>Cims FEEC</t>
        </is>
      </c>
      <c r="N21" s="31" t="inlineStr">
        <is>
          <t>3000 UIAA</t>
        </is>
      </c>
    </row>
    <row r="22">
      <c r="B22" s="32" t="inlineStr">
        <is>
          <t>Alt Camp</t>
        </is>
      </c>
      <c r="C22" s="33">
        <f>COUNTIF('100 Cims FEEC'!$C$5:$C$526,B22)</f>
        <v/>
      </c>
      <c r="D22" s="33">
        <f>COUNTIFS('100 Cims FEEC'!$C$5:$C$526,B22,'100 Cims FEEC'!$E$5:$E$526,"Essencial")</f>
        <v/>
      </c>
      <c r="E22" s="33">
        <f>COUNTIFS('100 Cims FEEC'!$C$5:$C$526,B22,'100 Cims FEEC'!$E$5:$E$526,"Essencial",'100 Cims FEEC'!$G$5:$G$526,"Sí")</f>
        <v/>
      </c>
      <c r="F22" s="33">
        <f>D22-E22</f>
        <v/>
      </c>
      <c r="G22" s="33">
        <f>COUNTIFS('100 Cims FEEC'!$C$5:$C$526,B22,'100 Cims FEEC'!$E$5:$E$526,"No essencial",'100 Cims FEEC'!$G$5:$G$526,"Sí")</f>
        <v/>
      </c>
      <c r="H22" s="34">
        <f>IF(D22=0,"-",E22/D22)</f>
        <v/>
      </c>
      <c r="K22" s="35" t="inlineStr">
        <is>
          <t>Internacionals</t>
        </is>
      </c>
      <c r="L22" s="36">
        <f>COUNTIF('Els meus punts'!$A$5:$A$6,K22)</f>
        <v/>
      </c>
      <c r="M22" s="36">
        <f>COUNTIFS('Els meus punts'!$A$5:$A$6,K22,'Els meus punts'!$F$5:$F$6,"&lt;&gt;")</f>
        <v/>
      </c>
      <c r="N22" s="36">
        <f>COUNTIFS('Els meus punts'!$A$5:$A$6,K22,'Els meus punts'!$J$5:$J$6,"Principal")+COUNTIFS('Els meus punts'!$A$5:$A$6,K22,'Els meus punts'!$J$5:$J$6,"Secundari")</f>
        <v/>
      </c>
    </row>
    <row r="23">
      <c r="B23" s="32" t="inlineStr">
        <is>
          <t>Alt Empordà</t>
        </is>
      </c>
      <c r="C23" s="33">
        <f>COUNTIF('100 Cims FEEC'!$C$5:$C$526,B23)</f>
        <v/>
      </c>
      <c r="D23" s="33">
        <f>COUNTIFS('100 Cims FEEC'!$C$5:$C$526,B23,'100 Cims FEEC'!$E$5:$E$526,"Essencial")</f>
        <v/>
      </c>
      <c r="E23" s="33">
        <f>COUNTIFS('100 Cims FEEC'!$C$5:$C$526,B23,'100 Cims FEEC'!$E$5:$E$526,"Essencial",'100 Cims FEEC'!$G$5:$G$526,"Sí")</f>
        <v/>
      </c>
      <c r="F23" s="33">
        <f>D23-E23</f>
        <v/>
      </c>
      <c r="G23" s="33">
        <f>COUNTIFS('100 Cims FEEC'!$C$5:$C$526,B23,'100 Cims FEEC'!$E$5:$E$526,"No essencial",'100 Cims FEEC'!$G$5:$G$526,"Sí")</f>
        <v/>
      </c>
      <c r="H23" s="34">
        <f>IF(D23=0,"-",E23/D23)</f>
        <v/>
      </c>
      <c r="K23" s="37" t="inlineStr">
        <is>
          <t>Asturias</t>
        </is>
      </c>
      <c r="L23" s="36">
        <f>COUNTIF('Els meus punts'!$A$5:$A$6,K23)</f>
        <v/>
      </c>
      <c r="M23" s="36">
        <f>COUNTIFS('Els meus punts'!$A$5:$A$6,K23,'Els meus punts'!$F$5:$F$6,"&lt;&gt;")</f>
        <v/>
      </c>
      <c r="N23" s="36">
        <f>COUNTIFS('Els meus punts'!$A$5:$A$6,K23,'Els meus punts'!$J$5:$J$6,"Principal")+COUNTIFS('Els meus punts'!$A$5:$A$6,K23,'Els meus punts'!$J$5:$J$6,"Secundari")</f>
        <v/>
      </c>
    </row>
    <row r="24">
      <c r="B24" s="32" t="inlineStr">
        <is>
          <t>Alt Penedès</t>
        </is>
      </c>
      <c r="C24" s="33">
        <f>COUNTIF('100 Cims FEEC'!$C$5:$C$526,B24)</f>
        <v/>
      </c>
      <c r="D24" s="33">
        <f>COUNTIFS('100 Cims FEEC'!$C$5:$C$526,B24,'100 Cims FEEC'!$E$5:$E$526,"Essencial")</f>
        <v/>
      </c>
      <c r="E24" s="33">
        <f>COUNTIFS('100 Cims FEEC'!$C$5:$C$526,B24,'100 Cims FEEC'!$E$5:$E$526,"Essencial",'100 Cims FEEC'!$G$5:$G$526,"Sí")</f>
        <v/>
      </c>
      <c r="F24" s="33">
        <f>D24-E24</f>
        <v/>
      </c>
      <c r="G24" s="33">
        <f>COUNTIFS('100 Cims FEEC'!$C$5:$C$526,B24,'100 Cims FEEC'!$E$5:$E$526,"No essencial",'100 Cims FEEC'!$G$5:$G$526,"Sí")</f>
        <v/>
      </c>
      <c r="H24" s="34">
        <f>IF(D24=0,"-",E24/D24)</f>
        <v/>
      </c>
      <c r="K24" s="37" t="inlineStr">
        <is>
          <t>Galicia</t>
        </is>
      </c>
      <c r="L24" s="36">
        <f>COUNTIF('Els meus punts'!$A$5:$A$6,K24)</f>
        <v/>
      </c>
      <c r="M24" s="36">
        <f>COUNTIFS('Els meus punts'!$A$5:$A$6,K24,'Els meus punts'!$F$5:$F$6,"&lt;&gt;")</f>
        <v/>
      </c>
      <c r="N24" s="36">
        <f>COUNTIFS('Els meus punts'!$A$5:$A$6,K24,'Els meus punts'!$J$5:$J$6,"Principal")+COUNTIFS('Els meus punts'!$A$5:$A$6,K24,'Els meus punts'!$J$5:$J$6,"Secundari")</f>
        <v/>
      </c>
    </row>
    <row r="25">
      <c r="B25" s="32" t="inlineStr">
        <is>
          <t>Alt Urgell</t>
        </is>
      </c>
      <c r="C25" s="33">
        <f>COUNTIF('100 Cims FEEC'!$C$5:$C$526,B25)</f>
        <v/>
      </c>
      <c r="D25" s="33">
        <f>COUNTIFS('100 Cims FEEC'!$C$5:$C$526,B25,'100 Cims FEEC'!$E$5:$E$526,"Essencial")</f>
        <v/>
      </c>
      <c r="E25" s="33">
        <f>COUNTIFS('100 Cims FEEC'!$C$5:$C$526,B25,'100 Cims FEEC'!$E$5:$E$526,"Essencial",'100 Cims FEEC'!$G$5:$G$526,"Sí")</f>
        <v/>
      </c>
      <c r="F25" s="33">
        <f>D25-E25</f>
        <v/>
      </c>
      <c r="G25" s="33">
        <f>COUNTIFS('100 Cims FEEC'!$C$5:$C$526,B25,'100 Cims FEEC'!$E$5:$E$526,"No essencial",'100 Cims FEEC'!$G$5:$G$526,"Sí")</f>
        <v/>
      </c>
      <c r="H25" s="34">
        <f>IF(D25=0,"-",E25/D25)</f>
        <v/>
      </c>
      <c r="K25" s="38" t="inlineStr">
        <is>
          <t>Cims</t>
        </is>
      </c>
      <c r="L25" s="36">
        <f>COUNTIF('Els meus punts'!$A$5:$A$6,K25)</f>
        <v/>
      </c>
      <c r="M25" s="36">
        <f>COUNTIFS('Els meus punts'!$A$5:$A$6,K25,'Els meus punts'!$F$5:$F$6,"&lt;&gt;")</f>
        <v/>
      </c>
      <c r="N25" s="36">
        <f>COUNTIFS('Els meus punts'!$A$5:$A$6,K25,'Els meus punts'!$J$5:$J$6,"Principal")+COUNTIFS('Els meus punts'!$A$5:$A$6,K25,'Els meus punts'!$J$5:$J$6,"Secundari")</f>
        <v/>
      </c>
    </row>
    <row r="26">
      <c r="B26" s="32" t="inlineStr">
        <is>
          <t>Alta Ribagorça</t>
        </is>
      </c>
      <c r="C26" s="33">
        <f>COUNTIF('100 Cims FEEC'!$C$5:$C$526,B26)</f>
        <v/>
      </c>
      <c r="D26" s="33">
        <f>COUNTIFS('100 Cims FEEC'!$C$5:$C$526,B26,'100 Cims FEEC'!$E$5:$E$526,"Essencial")</f>
        <v/>
      </c>
      <c r="E26" s="33">
        <f>COUNTIFS('100 Cims FEEC'!$C$5:$C$526,B26,'100 Cims FEEC'!$E$5:$E$526,"Essencial",'100 Cims FEEC'!$G$5:$G$526,"Sí")</f>
        <v/>
      </c>
      <c r="F26" s="33">
        <f>D26-E26</f>
        <v/>
      </c>
      <c r="G26" s="33">
        <f>COUNTIFS('100 Cims FEEC'!$C$5:$C$526,B26,'100 Cims FEEC'!$E$5:$E$526,"No essencial",'100 Cims FEEC'!$G$5:$G$526,"Sí")</f>
        <v/>
      </c>
      <c r="H26" s="34">
        <f>IF(D26=0,"-",E26/D26)</f>
        <v/>
      </c>
      <c r="K26" s="39" t="inlineStr">
        <is>
          <t>Escalades</t>
        </is>
      </c>
      <c r="L26" s="36">
        <f>COUNTIF('Els meus punts'!$A$5:$A$6,K26)</f>
        <v/>
      </c>
      <c r="M26" s="36">
        <f>COUNTIFS('Els meus punts'!$A$5:$A$6,K26,'Els meus punts'!$F$5:$F$6,"&lt;&gt;")</f>
        <v/>
      </c>
      <c r="N26" s="36">
        <f>COUNTIFS('Els meus punts'!$A$5:$A$6,K26,'Els meus punts'!$J$5:$J$6,"Principal")+COUNTIFS('Els meus punts'!$A$5:$A$6,K26,'Els meus punts'!$J$5:$J$6,"Secundari")</f>
        <v/>
      </c>
    </row>
    <row r="27">
      <c r="B27" s="32" t="inlineStr">
        <is>
          <t>Andorra</t>
        </is>
      </c>
      <c r="C27" s="33">
        <f>COUNTIF('100 Cims FEEC'!$C$5:$C$526,B27)</f>
        <v/>
      </c>
      <c r="D27" s="33">
        <f>COUNTIFS('100 Cims FEEC'!$C$5:$C$526,B27,'100 Cims FEEC'!$E$5:$E$526,"Essencial")</f>
        <v/>
      </c>
      <c r="E27" s="33">
        <f>COUNTIFS('100 Cims FEEC'!$C$5:$C$526,B27,'100 Cims FEEC'!$E$5:$E$526,"Essencial",'100 Cims FEEC'!$G$5:$G$526,"Sí")</f>
        <v/>
      </c>
      <c r="F27" s="33">
        <f>D27-E27</f>
        <v/>
      </c>
      <c r="G27" s="33">
        <f>COUNTIFS('100 Cims FEEC'!$C$5:$C$526,B27,'100 Cims FEEC'!$E$5:$E$526,"No essencial",'100 Cims FEEC'!$G$5:$G$526,"Sí")</f>
        <v/>
      </c>
      <c r="H27" s="34">
        <f>IF(D27=0,"-",E27/D27)</f>
        <v/>
      </c>
      <c r="K27" s="40" t="inlineStr">
        <is>
          <t>Ferrades</t>
        </is>
      </c>
      <c r="L27" s="36">
        <f>COUNTIF('Els meus punts'!$A$5:$A$6,K27)</f>
        <v/>
      </c>
      <c r="M27" s="36">
        <f>COUNTIFS('Els meus punts'!$A$5:$A$6,K27,'Els meus punts'!$F$5:$F$6,"&lt;&gt;")</f>
        <v/>
      </c>
      <c r="N27" s="36">
        <f>COUNTIFS('Els meus punts'!$A$5:$A$6,K27,'Els meus punts'!$J$5:$J$6,"Principal")+COUNTIFS('Els meus punts'!$A$5:$A$6,K27,'Els meus punts'!$J$5:$J$6,"Secundari")</f>
        <v/>
      </c>
    </row>
    <row r="28">
      <c r="B28" s="32" t="inlineStr">
        <is>
          <t>Anoia</t>
        </is>
      </c>
      <c r="C28" s="33">
        <f>COUNTIF('100 Cims FEEC'!$C$5:$C$526,B28)</f>
        <v/>
      </c>
      <c r="D28" s="33">
        <f>COUNTIFS('100 Cims FEEC'!$C$5:$C$526,B28,'100 Cims FEEC'!$E$5:$E$526,"Essencial")</f>
        <v/>
      </c>
      <c r="E28" s="33">
        <f>COUNTIFS('100 Cims FEEC'!$C$5:$C$526,B28,'100 Cims FEEC'!$E$5:$E$526,"Essencial",'100 Cims FEEC'!$G$5:$G$526,"Sí")</f>
        <v/>
      </c>
      <c r="F28" s="33">
        <f>D28-E28</f>
        <v/>
      </c>
      <c r="G28" s="33">
        <f>COUNTIFS('100 Cims FEEC'!$C$5:$C$526,B28,'100 Cims FEEC'!$E$5:$E$526,"No essencial",'100 Cims FEEC'!$G$5:$G$526,"Sí")</f>
        <v/>
      </c>
      <c r="H28" s="34">
        <f>IF(D28=0,"-",E28/D28)</f>
        <v/>
      </c>
      <c r="K28" s="41" t="inlineStr">
        <is>
          <t>Alpinisme</t>
        </is>
      </c>
      <c r="L28" s="36">
        <f>COUNTIF('Els meus punts'!$A$5:$A$6,K28)</f>
        <v/>
      </c>
      <c r="M28" s="36">
        <f>COUNTIFS('Els meus punts'!$A$5:$A$6,K28,'Els meus punts'!$F$5:$F$6,"&lt;&gt;")</f>
        <v/>
      </c>
      <c r="N28" s="36">
        <f>COUNTIFS('Els meus punts'!$A$5:$A$6,K28,'Els meus punts'!$J$5:$J$6,"Principal")+COUNTIFS('Els meus punts'!$A$5:$A$6,K28,'Els meus punts'!$J$5:$J$6,"Secundari")</f>
        <v/>
      </c>
    </row>
    <row r="29">
      <c r="B29" s="32" t="inlineStr">
        <is>
          <t>Bages</t>
        </is>
      </c>
      <c r="C29" s="33">
        <f>COUNTIF('100 Cims FEEC'!$C$5:$C$526,B29)</f>
        <v/>
      </c>
      <c r="D29" s="33">
        <f>COUNTIFS('100 Cims FEEC'!$C$5:$C$526,B29,'100 Cims FEEC'!$E$5:$E$526,"Essencial")</f>
        <v/>
      </c>
      <c r="E29" s="33">
        <f>COUNTIFS('100 Cims FEEC'!$C$5:$C$526,B29,'100 Cims FEEC'!$E$5:$E$526,"Essencial",'100 Cims FEEC'!$G$5:$G$526,"Sí")</f>
        <v/>
      </c>
      <c r="F29" s="33">
        <f>D29-E29</f>
        <v/>
      </c>
      <c r="G29" s="33">
        <f>COUNTIFS('100 Cims FEEC'!$C$5:$C$526,B29,'100 Cims FEEC'!$E$5:$E$526,"No essencial",'100 Cims FEEC'!$G$5:$G$526,"Sí")</f>
        <v/>
      </c>
      <c r="H29" s="34">
        <f>IF(D29=0,"-",E29/D29)</f>
        <v/>
      </c>
      <c r="K29" s="42" t="inlineStr">
        <is>
          <t>Projectes</t>
        </is>
      </c>
      <c r="L29" s="36">
        <f>COUNTIF('Els meus punts'!$A$5:$A$6,K29)</f>
        <v/>
      </c>
      <c r="M29" s="36">
        <f>COUNTIFS('Els meus punts'!$A$5:$A$6,K29,'Els meus punts'!$F$5:$F$6,"&lt;&gt;")</f>
        <v/>
      </c>
      <c r="N29" s="36">
        <f>COUNTIFS('Els meus punts'!$A$5:$A$6,K29,'Els meus punts'!$J$5:$J$6,"Principal")+COUNTIFS('Els meus punts'!$A$5:$A$6,K29,'Els meus punts'!$J$5:$J$6,"Secundari")</f>
        <v/>
      </c>
    </row>
    <row r="30">
      <c r="B30" s="32" t="inlineStr">
        <is>
          <t>Baix Camp</t>
        </is>
      </c>
      <c r="C30" s="33">
        <f>COUNTIF('100 Cims FEEC'!$C$5:$C$526,B30)</f>
        <v/>
      </c>
      <c r="D30" s="33">
        <f>COUNTIFS('100 Cims FEEC'!$C$5:$C$526,B30,'100 Cims FEEC'!$E$5:$E$526,"Essencial")</f>
        <v/>
      </c>
      <c r="E30" s="33">
        <f>COUNTIFS('100 Cims FEEC'!$C$5:$C$526,B30,'100 Cims FEEC'!$E$5:$E$526,"Essencial",'100 Cims FEEC'!$G$5:$G$526,"Sí")</f>
        <v/>
      </c>
      <c r="F30" s="33">
        <f>D30-E30</f>
        <v/>
      </c>
      <c r="G30" s="33">
        <f>COUNTIFS('100 Cims FEEC'!$C$5:$C$526,B30,'100 Cims FEEC'!$E$5:$E$526,"No essencial",'100 Cims FEEC'!$G$5:$G$526,"Sí")</f>
        <v/>
      </c>
      <c r="H30" s="34">
        <f>IF(D30=0,"-",E30/D30)</f>
        <v/>
      </c>
      <c r="K30" s="43" t="inlineStr">
        <is>
          <t>Total</t>
        </is>
      </c>
      <c r="L30" s="44">
        <f>SUM(L22:L29)</f>
        <v/>
      </c>
      <c r="M30" s="44">
        <f>SUM(M22:M29)</f>
        <v/>
      </c>
      <c r="N30" s="44">
        <f>SUM(N22:N29)</f>
        <v/>
      </c>
    </row>
    <row r="31">
      <c r="B31" s="32" t="inlineStr">
        <is>
          <t>Baix Ebre</t>
        </is>
      </c>
      <c r="C31" s="33">
        <f>COUNTIF('100 Cims FEEC'!$C$5:$C$526,B31)</f>
        <v/>
      </c>
      <c r="D31" s="33">
        <f>COUNTIFS('100 Cims FEEC'!$C$5:$C$526,B31,'100 Cims FEEC'!$E$5:$E$526,"Essencial")</f>
        <v/>
      </c>
      <c r="E31" s="33">
        <f>COUNTIFS('100 Cims FEEC'!$C$5:$C$526,B31,'100 Cims FEEC'!$E$5:$E$526,"Essencial",'100 Cims FEEC'!$G$5:$G$526,"Sí")</f>
        <v/>
      </c>
      <c r="F31" s="33">
        <f>D31-E31</f>
        <v/>
      </c>
      <c r="G31" s="33">
        <f>COUNTIFS('100 Cims FEEC'!$C$5:$C$526,B31,'100 Cims FEEC'!$E$5:$E$526,"No essencial",'100 Cims FEEC'!$G$5:$G$526,"Sí")</f>
        <v/>
      </c>
      <c r="H31" s="34">
        <f>IF(D31=0,"-",E31/D31)</f>
        <v/>
      </c>
    </row>
    <row r="32">
      <c r="B32" s="32" t="inlineStr">
        <is>
          <t>Baix Empordà</t>
        </is>
      </c>
      <c r="C32" s="33">
        <f>COUNTIF('100 Cims FEEC'!$C$5:$C$526,B32)</f>
        <v/>
      </c>
      <c r="D32" s="33">
        <f>COUNTIFS('100 Cims FEEC'!$C$5:$C$526,B32,'100 Cims FEEC'!$E$5:$E$526,"Essencial")</f>
        <v/>
      </c>
      <c r="E32" s="33">
        <f>COUNTIFS('100 Cims FEEC'!$C$5:$C$526,B32,'100 Cims FEEC'!$E$5:$E$526,"Essencial",'100 Cims FEEC'!$G$5:$G$526,"Sí")</f>
        <v/>
      </c>
      <c r="F32" s="33">
        <f>D32-E32</f>
        <v/>
      </c>
      <c r="G32" s="33">
        <f>COUNTIFS('100 Cims FEEC'!$C$5:$C$526,B32,'100 Cims FEEC'!$E$5:$E$526,"No essencial",'100 Cims FEEC'!$G$5:$G$526,"Sí")</f>
        <v/>
      </c>
      <c r="H32" s="34">
        <f>IF(D32=0,"-",E32/D32)</f>
        <v/>
      </c>
    </row>
    <row r="33">
      <c r="B33" s="32" t="inlineStr">
        <is>
          <t>Baix Llobregat</t>
        </is>
      </c>
      <c r="C33" s="33">
        <f>COUNTIF('100 Cims FEEC'!$C$5:$C$526,B33)</f>
        <v/>
      </c>
      <c r="D33" s="33">
        <f>COUNTIFS('100 Cims FEEC'!$C$5:$C$526,B33,'100 Cims FEEC'!$E$5:$E$526,"Essencial")</f>
        <v/>
      </c>
      <c r="E33" s="33">
        <f>COUNTIFS('100 Cims FEEC'!$C$5:$C$526,B33,'100 Cims FEEC'!$E$5:$E$526,"Essencial",'100 Cims FEEC'!$G$5:$G$526,"Sí")</f>
        <v/>
      </c>
      <c r="F33" s="33">
        <f>D33-E33</f>
        <v/>
      </c>
      <c r="G33" s="33">
        <f>COUNTIFS('100 Cims FEEC'!$C$5:$C$526,B33,'100 Cims FEEC'!$E$5:$E$526,"No essencial",'100 Cims FEEC'!$G$5:$G$526,"Sí")</f>
        <v/>
      </c>
      <c r="H33" s="34">
        <f>IF(D33=0,"-",E33/D33)</f>
        <v/>
      </c>
      <c r="K33" s="28" t="inlineStr">
        <is>
          <t>3000 UIAA per zona</t>
        </is>
      </c>
    </row>
    <row r="34">
      <c r="B34" s="32" t="inlineStr">
        <is>
          <t>Baix Penedès</t>
        </is>
      </c>
      <c r="C34" s="33">
        <f>COUNTIF('100 Cims FEEC'!$C$5:$C$526,B34)</f>
        <v/>
      </c>
      <c r="D34" s="33">
        <f>COUNTIFS('100 Cims FEEC'!$C$5:$C$526,B34,'100 Cims FEEC'!$E$5:$E$526,"Essencial")</f>
        <v/>
      </c>
      <c r="E34" s="33">
        <f>COUNTIFS('100 Cims FEEC'!$C$5:$C$526,B34,'100 Cims FEEC'!$E$5:$E$526,"Essencial",'100 Cims FEEC'!$G$5:$G$526,"Sí")</f>
        <v/>
      </c>
      <c r="F34" s="33">
        <f>D34-E34</f>
        <v/>
      </c>
      <c r="G34" s="33">
        <f>COUNTIFS('100 Cims FEEC'!$C$5:$C$526,B34,'100 Cims FEEC'!$E$5:$E$526,"No essencial",'100 Cims FEEC'!$G$5:$G$526,"Sí")</f>
        <v/>
      </c>
      <c r="H34" s="34">
        <f>IF(D34=0,"-",E34/D34)</f>
        <v/>
      </c>
      <c r="K34" s="29" t="inlineStr">
        <is>
          <t>Zona</t>
        </is>
      </c>
      <c r="L34" s="29" t="inlineStr">
        <is>
          <t>Principals</t>
        </is>
      </c>
      <c r="M34" s="29" t="inlineStr">
        <is>
          <t>Princ. fets</t>
        </is>
      </c>
      <c r="N34" s="29" t="inlineStr">
        <is>
          <t>Secundaris</t>
        </is>
      </c>
      <c r="O34" s="29" t="inlineStr">
        <is>
          <t>Sec. fets</t>
        </is>
      </c>
      <c r="P34" s="29" t="inlineStr">
        <is>
          <t>% total</t>
        </is>
      </c>
    </row>
    <row r="35">
      <c r="B35" s="32" t="inlineStr">
        <is>
          <t>Barcelonès</t>
        </is>
      </c>
      <c r="C35" s="33">
        <f>COUNTIF('100 Cims FEEC'!$C$5:$C$526,B35)</f>
        <v/>
      </c>
      <c r="D35" s="33">
        <f>COUNTIFS('100 Cims FEEC'!$C$5:$C$526,B35,'100 Cims FEEC'!$E$5:$E$526,"Essencial")</f>
        <v/>
      </c>
      <c r="E35" s="33">
        <f>COUNTIFS('100 Cims FEEC'!$C$5:$C$526,B35,'100 Cims FEEC'!$E$5:$E$526,"Essencial",'100 Cims FEEC'!$G$5:$G$526,"Sí")</f>
        <v/>
      </c>
      <c r="F35" s="33">
        <f>D35-E35</f>
        <v/>
      </c>
      <c r="G35" s="33">
        <f>COUNTIFS('100 Cims FEEC'!$C$5:$C$526,B35,'100 Cims FEEC'!$E$5:$E$526,"No essencial",'100 Cims FEEC'!$G$5:$G$526,"Sí")</f>
        <v/>
      </c>
      <c r="H35" s="34">
        <f>IF(D35=0,"-",E35/D35)</f>
        <v/>
      </c>
      <c r="K35" s="45" t="inlineStr">
        <is>
          <t>Z1 · Balaitús-Infiernos</t>
        </is>
      </c>
      <c r="L35" s="36">
        <f>COUNTIFS('3000 Pirineu'!$D$5:$D$219,K35,'3000 Pirineu'!$E$5:$E$219,"Principal")</f>
        <v/>
      </c>
      <c r="M35" s="36">
        <f>COUNTIFS('3000 Pirineu'!$D$5:$D$219,K35,'3000 Pirineu'!$E$5:$E$219,"Principal",'3000 Pirineu'!$G$5:$G$219,"Sí")</f>
        <v/>
      </c>
      <c r="N35" s="36">
        <f>COUNTIFS('3000 Pirineu'!$D$5:$D$219,K35,'3000 Pirineu'!$E$5:$E$219,"Secundari")</f>
        <v/>
      </c>
      <c r="O35" s="36">
        <f>COUNTIFS('3000 Pirineu'!$D$5:$D$219,K35,'3000 Pirineu'!$E$5:$E$219,"Secundari",'3000 Pirineu'!$G$5:$G$219,"Sí")</f>
        <v/>
      </c>
      <c r="P35" s="46">
        <f>IF(L35+N35=0,0,(M35+O35)/(L35+N35))</f>
        <v/>
      </c>
    </row>
    <row r="36">
      <c r="B36" s="32" t="inlineStr">
        <is>
          <t>Berguedà</t>
        </is>
      </c>
      <c r="C36" s="33">
        <f>COUNTIF('100 Cims FEEC'!$C$5:$C$526,B36)</f>
        <v/>
      </c>
      <c r="D36" s="33">
        <f>COUNTIFS('100 Cims FEEC'!$C$5:$C$526,B36,'100 Cims FEEC'!$E$5:$E$526,"Essencial")</f>
        <v/>
      </c>
      <c r="E36" s="33">
        <f>COUNTIFS('100 Cims FEEC'!$C$5:$C$526,B36,'100 Cims FEEC'!$E$5:$E$526,"Essencial",'100 Cims FEEC'!$G$5:$G$526,"Sí")</f>
        <v/>
      </c>
      <c r="F36" s="33">
        <f>D36-E36</f>
        <v/>
      </c>
      <c r="G36" s="33">
        <f>COUNTIFS('100 Cims FEEC'!$C$5:$C$526,B36,'100 Cims FEEC'!$E$5:$E$526,"No essencial",'100 Cims FEEC'!$G$5:$G$526,"Sí")</f>
        <v/>
      </c>
      <c r="H36" s="34">
        <f>IF(D36=0,"-",E36/D36)</f>
        <v/>
      </c>
      <c r="K36" s="45" t="inlineStr">
        <is>
          <t>Z2 · Vignemale</t>
        </is>
      </c>
      <c r="L36" s="36">
        <f>COUNTIFS('3000 Pirineu'!$D$5:$D$219,K36,'3000 Pirineu'!$E$5:$E$219,"Principal")</f>
        <v/>
      </c>
      <c r="M36" s="36">
        <f>COUNTIFS('3000 Pirineu'!$D$5:$D$219,K36,'3000 Pirineu'!$E$5:$E$219,"Principal",'3000 Pirineu'!$G$5:$G$219,"Sí")</f>
        <v/>
      </c>
      <c r="N36" s="36">
        <f>COUNTIFS('3000 Pirineu'!$D$5:$D$219,K36,'3000 Pirineu'!$E$5:$E$219,"Secundari")</f>
        <v/>
      </c>
      <c r="O36" s="36">
        <f>COUNTIFS('3000 Pirineu'!$D$5:$D$219,K36,'3000 Pirineu'!$E$5:$E$219,"Secundari",'3000 Pirineu'!$G$5:$G$219,"Sí")</f>
        <v/>
      </c>
      <c r="P36" s="46">
        <f>IF(L36+N36=0,0,(M36+O36)/(L36+N36))</f>
        <v/>
      </c>
    </row>
    <row r="37">
      <c r="B37" s="32" t="inlineStr">
        <is>
          <t>Capcir</t>
        </is>
      </c>
      <c r="C37" s="33">
        <f>COUNTIF('100 Cims FEEC'!$C$5:$C$526,B37)</f>
        <v/>
      </c>
      <c r="D37" s="33">
        <f>COUNTIFS('100 Cims FEEC'!$C$5:$C$526,B37,'100 Cims FEEC'!$E$5:$E$526,"Essencial")</f>
        <v/>
      </c>
      <c r="E37" s="33">
        <f>COUNTIFS('100 Cims FEEC'!$C$5:$C$526,B37,'100 Cims FEEC'!$E$5:$E$526,"Essencial",'100 Cims FEEC'!$G$5:$G$526,"Sí")</f>
        <v/>
      </c>
      <c r="F37" s="33">
        <f>D37-E37</f>
        <v/>
      </c>
      <c r="G37" s="33">
        <f>COUNTIFS('100 Cims FEEC'!$C$5:$C$526,B37,'100 Cims FEEC'!$E$5:$E$526,"No essencial",'100 Cims FEEC'!$G$5:$G$526,"Sí")</f>
        <v/>
      </c>
      <c r="H37" s="34">
        <f>IF(D37=0,"-",E37/D37)</f>
        <v/>
      </c>
      <c r="K37" s="45" t="inlineStr">
        <is>
          <t>Z3 · Monte Perdido</t>
        </is>
      </c>
      <c r="L37" s="36">
        <f>COUNTIFS('3000 Pirineu'!$D$5:$D$219,K37,'3000 Pirineu'!$E$5:$E$219,"Principal")</f>
        <v/>
      </c>
      <c r="M37" s="36">
        <f>COUNTIFS('3000 Pirineu'!$D$5:$D$219,K37,'3000 Pirineu'!$E$5:$E$219,"Principal",'3000 Pirineu'!$G$5:$G$219,"Sí")</f>
        <v/>
      </c>
      <c r="N37" s="36">
        <f>COUNTIFS('3000 Pirineu'!$D$5:$D$219,K37,'3000 Pirineu'!$E$5:$E$219,"Secundari")</f>
        <v/>
      </c>
      <c r="O37" s="36">
        <f>COUNTIFS('3000 Pirineu'!$D$5:$D$219,K37,'3000 Pirineu'!$E$5:$E$219,"Secundari",'3000 Pirineu'!$G$5:$G$219,"Sí")</f>
        <v/>
      </c>
      <c r="P37" s="46">
        <f>IF(L37+N37=0,0,(M37+O37)/(L37+N37))</f>
        <v/>
      </c>
    </row>
    <row r="38">
      <c r="B38" s="32" t="inlineStr">
        <is>
          <t>Cerdanya</t>
        </is>
      </c>
      <c r="C38" s="33">
        <f>COUNTIF('100 Cims FEEC'!$C$5:$C$526,B38)</f>
        <v/>
      </c>
      <c r="D38" s="33">
        <f>COUNTIFS('100 Cims FEEC'!$C$5:$C$526,B38,'100 Cims FEEC'!$E$5:$E$526,"Essencial")</f>
        <v/>
      </c>
      <c r="E38" s="33">
        <f>COUNTIFS('100 Cims FEEC'!$C$5:$C$526,B38,'100 Cims FEEC'!$E$5:$E$526,"Essencial",'100 Cims FEEC'!$G$5:$G$526,"Sí")</f>
        <v/>
      </c>
      <c r="F38" s="33">
        <f>D38-E38</f>
        <v/>
      </c>
      <c r="G38" s="33">
        <f>COUNTIFS('100 Cims FEEC'!$C$5:$C$526,B38,'100 Cims FEEC'!$E$5:$E$526,"No essencial",'100 Cims FEEC'!$G$5:$G$526,"Sí")</f>
        <v/>
      </c>
      <c r="H38" s="34">
        <f>IF(D38=0,"-",E38/D38)</f>
        <v/>
      </c>
      <c r="K38" s="45" t="inlineStr">
        <is>
          <t>Z4 · La Munia</t>
        </is>
      </c>
      <c r="L38" s="36">
        <f>COUNTIFS('3000 Pirineu'!$D$5:$D$219,K38,'3000 Pirineu'!$E$5:$E$219,"Principal")</f>
        <v/>
      </c>
      <c r="M38" s="36">
        <f>COUNTIFS('3000 Pirineu'!$D$5:$D$219,K38,'3000 Pirineu'!$E$5:$E$219,"Principal",'3000 Pirineu'!$G$5:$G$219,"Sí")</f>
        <v/>
      </c>
      <c r="N38" s="36">
        <f>COUNTIFS('3000 Pirineu'!$D$5:$D$219,K38,'3000 Pirineu'!$E$5:$E$219,"Secundari")</f>
        <v/>
      </c>
      <c r="O38" s="36">
        <f>COUNTIFS('3000 Pirineu'!$D$5:$D$219,K38,'3000 Pirineu'!$E$5:$E$219,"Secundari",'3000 Pirineu'!$G$5:$G$219,"Sí")</f>
        <v/>
      </c>
      <c r="P38" s="46">
        <f>IF(L38+N38=0,0,(M38+O38)/(L38+N38))</f>
        <v/>
      </c>
    </row>
    <row r="39">
      <c r="B39" s="32" t="inlineStr">
        <is>
          <t>Cerdanya Nord</t>
        </is>
      </c>
      <c r="C39" s="33">
        <f>COUNTIF('100 Cims FEEC'!$C$5:$C$526,B39)</f>
        <v/>
      </c>
      <c r="D39" s="33">
        <f>COUNTIFS('100 Cims FEEC'!$C$5:$C$526,B39,'100 Cims FEEC'!$E$5:$E$526,"Essencial")</f>
        <v/>
      </c>
      <c r="E39" s="33">
        <f>COUNTIFS('100 Cims FEEC'!$C$5:$C$526,B39,'100 Cims FEEC'!$E$5:$E$526,"Essencial",'100 Cims FEEC'!$G$5:$G$526,"Sí")</f>
        <v/>
      </c>
      <c r="F39" s="33">
        <f>D39-E39</f>
        <v/>
      </c>
      <c r="G39" s="33">
        <f>COUNTIFS('100 Cims FEEC'!$C$5:$C$526,B39,'100 Cims FEEC'!$E$5:$E$526,"No essencial",'100 Cims FEEC'!$G$5:$G$526,"Sí")</f>
        <v/>
      </c>
      <c r="H39" s="34">
        <f>IF(D39=0,"-",E39/D39)</f>
        <v/>
      </c>
      <c r="K39" s="45" t="inlineStr">
        <is>
          <t>Z5 · Néouvielle</t>
        </is>
      </c>
      <c r="L39" s="36">
        <f>COUNTIFS('3000 Pirineu'!$D$5:$D$219,K39,'3000 Pirineu'!$E$5:$E$219,"Principal")</f>
        <v/>
      </c>
      <c r="M39" s="36">
        <f>COUNTIFS('3000 Pirineu'!$D$5:$D$219,K39,'3000 Pirineu'!$E$5:$E$219,"Principal",'3000 Pirineu'!$G$5:$G$219,"Sí")</f>
        <v/>
      </c>
      <c r="N39" s="36">
        <f>COUNTIFS('3000 Pirineu'!$D$5:$D$219,K39,'3000 Pirineu'!$E$5:$E$219,"Secundari")</f>
        <v/>
      </c>
      <c r="O39" s="36">
        <f>COUNTIFS('3000 Pirineu'!$D$5:$D$219,K39,'3000 Pirineu'!$E$5:$E$219,"Secundari",'3000 Pirineu'!$G$5:$G$219,"Sí")</f>
        <v/>
      </c>
      <c r="P39" s="46">
        <f>IF(L39+N39=0,0,(M39+O39)/(L39+N39))</f>
        <v/>
      </c>
    </row>
    <row r="40">
      <c r="B40" s="32" t="inlineStr">
        <is>
          <t>Conca de Barberà</t>
        </is>
      </c>
      <c r="C40" s="33">
        <f>COUNTIF('100 Cims FEEC'!$C$5:$C$526,B40)</f>
        <v/>
      </c>
      <c r="D40" s="33">
        <f>COUNTIFS('100 Cims FEEC'!$C$5:$C$526,B40,'100 Cims FEEC'!$E$5:$E$526,"Essencial")</f>
        <v/>
      </c>
      <c r="E40" s="33">
        <f>COUNTIFS('100 Cims FEEC'!$C$5:$C$526,B40,'100 Cims FEEC'!$E$5:$E$526,"Essencial",'100 Cims FEEC'!$G$5:$G$526,"Sí")</f>
        <v/>
      </c>
      <c r="F40" s="33">
        <f>D40-E40</f>
        <v/>
      </c>
      <c r="G40" s="33">
        <f>COUNTIFS('100 Cims FEEC'!$C$5:$C$526,B40,'100 Cims FEEC'!$E$5:$E$526,"No essencial",'100 Cims FEEC'!$G$5:$G$526,"Sí")</f>
        <v/>
      </c>
      <c r="H40" s="34">
        <f>IF(D40=0,"-",E40/D40)</f>
        <v/>
      </c>
      <c r="K40" s="45" t="inlineStr">
        <is>
          <t>Z6 · Bachimala</t>
        </is>
      </c>
      <c r="L40" s="36">
        <f>COUNTIFS('3000 Pirineu'!$D$5:$D$219,K40,'3000 Pirineu'!$E$5:$E$219,"Principal")</f>
        <v/>
      </c>
      <c r="M40" s="36">
        <f>COUNTIFS('3000 Pirineu'!$D$5:$D$219,K40,'3000 Pirineu'!$E$5:$E$219,"Principal",'3000 Pirineu'!$G$5:$G$219,"Sí")</f>
        <v/>
      </c>
      <c r="N40" s="36">
        <f>COUNTIFS('3000 Pirineu'!$D$5:$D$219,K40,'3000 Pirineu'!$E$5:$E$219,"Secundari")</f>
        <v/>
      </c>
      <c r="O40" s="36">
        <f>COUNTIFS('3000 Pirineu'!$D$5:$D$219,K40,'3000 Pirineu'!$E$5:$E$219,"Secundari",'3000 Pirineu'!$G$5:$G$219,"Sí")</f>
        <v/>
      </c>
      <c r="P40" s="46">
        <f>IF(L40+N40=0,0,(M40+O40)/(L40+N40))</f>
        <v/>
      </c>
    </row>
    <row r="41">
      <c r="B41" s="32" t="inlineStr">
        <is>
          <t>Conflent</t>
        </is>
      </c>
      <c r="C41" s="33">
        <f>COUNTIF('100 Cims FEEC'!$C$5:$C$526,B41)</f>
        <v/>
      </c>
      <c r="D41" s="33">
        <f>COUNTIFS('100 Cims FEEC'!$C$5:$C$526,B41,'100 Cims FEEC'!$E$5:$E$526,"Essencial")</f>
        <v/>
      </c>
      <c r="E41" s="33">
        <f>COUNTIFS('100 Cims FEEC'!$C$5:$C$526,B41,'100 Cims FEEC'!$E$5:$E$526,"Essencial",'100 Cims FEEC'!$G$5:$G$526,"Sí")</f>
        <v/>
      </c>
      <c r="F41" s="33">
        <f>D41-E41</f>
        <v/>
      </c>
      <c r="G41" s="33">
        <f>COUNTIFS('100 Cims FEEC'!$C$5:$C$526,B41,'100 Cims FEEC'!$E$5:$E$526,"No essencial",'100 Cims FEEC'!$G$5:$G$526,"Sí")</f>
        <v/>
      </c>
      <c r="H41" s="34">
        <f>IF(D41=0,"-",E41/D41)</f>
        <v/>
      </c>
      <c r="K41" s="45" t="inlineStr">
        <is>
          <t>Z7 · Posets-Eriste</t>
        </is>
      </c>
      <c r="L41" s="36">
        <f>COUNTIFS('3000 Pirineu'!$D$5:$D$219,K41,'3000 Pirineu'!$E$5:$E$219,"Principal")</f>
        <v/>
      </c>
      <c r="M41" s="36">
        <f>COUNTIFS('3000 Pirineu'!$D$5:$D$219,K41,'3000 Pirineu'!$E$5:$E$219,"Principal",'3000 Pirineu'!$G$5:$G$219,"Sí")</f>
        <v/>
      </c>
      <c r="N41" s="36">
        <f>COUNTIFS('3000 Pirineu'!$D$5:$D$219,K41,'3000 Pirineu'!$E$5:$E$219,"Secundari")</f>
        <v/>
      </c>
      <c r="O41" s="36">
        <f>COUNTIFS('3000 Pirineu'!$D$5:$D$219,K41,'3000 Pirineu'!$E$5:$E$219,"Secundari",'3000 Pirineu'!$G$5:$G$219,"Sí")</f>
        <v/>
      </c>
      <c r="P41" s="46">
        <f>IF(L41+N41=0,0,(M41+O41)/(L41+N41))</f>
        <v/>
      </c>
    </row>
    <row r="42">
      <c r="B42" s="32" t="inlineStr">
        <is>
          <t>Garrigues</t>
        </is>
      </c>
      <c r="C42" s="33">
        <f>COUNTIF('100 Cims FEEC'!$C$5:$C$526,B42)</f>
        <v/>
      </c>
      <c r="D42" s="33">
        <f>COUNTIFS('100 Cims FEEC'!$C$5:$C$526,B42,'100 Cims FEEC'!$E$5:$E$526,"Essencial")</f>
        <v/>
      </c>
      <c r="E42" s="33">
        <f>COUNTIFS('100 Cims FEEC'!$C$5:$C$526,B42,'100 Cims FEEC'!$E$5:$E$526,"Essencial",'100 Cims FEEC'!$G$5:$G$526,"Sí")</f>
        <v/>
      </c>
      <c r="F42" s="33">
        <f>D42-E42</f>
        <v/>
      </c>
      <c r="G42" s="33">
        <f>COUNTIFS('100 Cims FEEC'!$C$5:$C$526,B42,'100 Cims FEEC'!$E$5:$E$526,"No essencial",'100 Cims FEEC'!$G$5:$G$526,"Sí")</f>
        <v/>
      </c>
      <c r="H42" s="34">
        <f>IF(D42=0,"-",E42/D42)</f>
        <v/>
      </c>
      <c r="K42" s="45" t="inlineStr">
        <is>
          <t>Z8 · Clarabide-Perdiguero</t>
        </is>
      </c>
      <c r="L42" s="36">
        <f>COUNTIFS('3000 Pirineu'!$D$5:$D$219,K42,'3000 Pirineu'!$E$5:$E$219,"Principal")</f>
        <v/>
      </c>
      <c r="M42" s="36">
        <f>COUNTIFS('3000 Pirineu'!$D$5:$D$219,K42,'3000 Pirineu'!$E$5:$E$219,"Principal",'3000 Pirineu'!$G$5:$G$219,"Sí")</f>
        <v/>
      </c>
      <c r="N42" s="36">
        <f>COUNTIFS('3000 Pirineu'!$D$5:$D$219,K42,'3000 Pirineu'!$E$5:$E$219,"Secundari")</f>
        <v/>
      </c>
      <c r="O42" s="36">
        <f>COUNTIFS('3000 Pirineu'!$D$5:$D$219,K42,'3000 Pirineu'!$E$5:$E$219,"Secundari",'3000 Pirineu'!$G$5:$G$219,"Sí")</f>
        <v/>
      </c>
      <c r="P42" s="46">
        <f>IF(L42+N42=0,0,(M42+O42)/(L42+N42))</f>
        <v/>
      </c>
    </row>
    <row r="43">
      <c r="B43" s="32" t="inlineStr">
        <is>
          <t>Garrotxa</t>
        </is>
      </c>
      <c r="C43" s="33">
        <f>COUNTIF('100 Cims FEEC'!$C$5:$C$526,B43)</f>
        <v/>
      </c>
      <c r="D43" s="33">
        <f>COUNTIFS('100 Cims FEEC'!$C$5:$C$526,B43,'100 Cims FEEC'!$E$5:$E$526,"Essencial")</f>
        <v/>
      </c>
      <c r="E43" s="33">
        <f>COUNTIFS('100 Cims FEEC'!$C$5:$C$526,B43,'100 Cims FEEC'!$E$5:$E$526,"Essencial",'100 Cims FEEC'!$G$5:$G$526,"Sí")</f>
        <v/>
      </c>
      <c r="F43" s="33">
        <f>D43-E43</f>
        <v/>
      </c>
      <c r="G43" s="33">
        <f>COUNTIFS('100 Cims FEEC'!$C$5:$C$526,B43,'100 Cims FEEC'!$E$5:$E$526,"No essencial",'100 Cims FEEC'!$G$5:$G$526,"Sí")</f>
        <v/>
      </c>
      <c r="H43" s="34">
        <f>IF(D43=0,"-",E43/D43)</f>
        <v/>
      </c>
      <c r="K43" s="45" t="inlineStr">
        <is>
          <t>Z9 · Maladeta-Aneto</t>
        </is>
      </c>
      <c r="L43" s="36">
        <f>COUNTIFS('3000 Pirineu'!$D$5:$D$219,K43,'3000 Pirineu'!$E$5:$E$219,"Principal")</f>
        <v/>
      </c>
      <c r="M43" s="36">
        <f>COUNTIFS('3000 Pirineu'!$D$5:$D$219,K43,'3000 Pirineu'!$E$5:$E$219,"Principal",'3000 Pirineu'!$G$5:$G$219,"Sí")</f>
        <v/>
      </c>
      <c r="N43" s="36">
        <f>COUNTIFS('3000 Pirineu'!$D$5:$D$219,K43,'3000 Pirineu'!$E$5:$E$219,"Secundari")</f>
        <v/>
      </c>
      <c r="O43" s="36">
        <f>COUNTIFS('3000 Pirineu'!$D$5:$D$219,K43,'3000 Pirineu'!$E$5:$E$219,"Secundari",'3000 Pirineu'!$G$5:$G$219,"Sí")</f>
        <v/>
      </c>
      <c r="P43" s="46">
        <f>IF(L43+N43=0,0,(M43+O43)/(L43+N43))</f>
        <v/>
      </c>
    </row>
    <row r="44">
      <c r="B44" s="32" t="inlineStr">
        <is>
          <t>Gironès</t>
        </is>
      </c>
      <c r="C44" s="33">
        <f>COUNTIF('100 Cims FEEC'!$C$5:$C$526,B44)</f>
        <v/>
      </c>
      <c r="D44" s="33">
        <f>COUNTIFS('100 Cims FEEC'!$C$5:$C$526,B44,'100 Cims FEEC'!$E$5:$E$526,"Essencial")</f>
        <v/>
      </c>
      <c r="E44" s="33">
        <f>COUNTIFS('100 Cims FEEC'!$C$5:$C$526,B44,'100 Cims FEEC'!$E$5:$E$526,"Essencial",'100 Cims FEEC'!$G$5:$G$526,"Sí")</f>
        <v/>
      </c>
      <c r="F44" s="33">
        <f>D44-E44</f>
        <v/>
      </c>
      <c r="G44" s="33">
        <f>COUNTIFS('100 Cims FEEC'!$C$5:$C$526,B44,'100 Cims FEEC'!$E$5:$E$526,"No essencial",'100 Cims FEEC'!$G$5:$G$526,"Sí")</f>
        <v/>
      </c>
      <c r="H44" s="34">
        <f>IF(D44=0,"-",E44/D44)</f>
        <v/>
      </c>
      <c r="K44" s="45" t="inlineStr">
        <is>
          <t>Z10 · Besiberri</t>
        </is>
      </c>
      <c r="L44" s="36">
        <f>COUNTIFS('3000 Pirineu'!$D$5:$D$219,K44,'3000 Pirineu'!$E$5:$E$219,"Principal")</f>
        <v/>
      </c>
      <c r="M44" s="36">
        <f>COUNTIFS('3000 Pirineu'!$D$5:$D$219,K44,'3000 Pirineu'!$E$5:$E$219,"Principal",'3000 Pirineu'!$G$5:$G$219,"Sí")</f>
        <v/>
      </c>
      <c r="N44" s="36">
        <f>COUNTIFS('3000 Pirineu'!$D$5:$D$219,K44,'3000 Pirineu'!$E$5:$E$219,"Secundari")</f>
        <v/>
      </c>
      <c r="O44" s="36">
        <f>COUNTIFS('3000 Pirineu'!$D$5:$D$219,K44,'3000 Pirineu'!$E$5:$E$219,"Secundari",'3000 Pirineu'!$G$5:$G$219,"Sí")</f>
        <v/>
      </c>
      <c r="P44" s="46">
        <f>IF(L44+N44=0,0,(M44+O44)/(L44+N44))</f>
        <v/>
      </c>
    </row>
    <row r="45">
      <c r="B45" s="32" t="inlineStr">
        <is>
          <t>Lluçanès</t>
        </is>
      </c>
      <c r="C45" s="33">
        <f>COUNTIF('100 Cims FEEC'!$C$5:$C$526,B45)</f>
        <v/>
      </c>
      <c r="D45" s="33">
        <f>COUNTIFS('100 Cims FEEC'!$C$5:$C$526,B45,'100 Cims FEEC'!$E$5:$E$526,"Essencial")</f>
        <v/>
      </c>
      <c r="E45" s="33">
        <f>COUNTIFS('100 Cims FEEC'!$C$5:$C$526,B45,'100 Cims FEEC'!$E$5:$E$526,"Essencial",'100 Cims FEEC'!$G$5:$G$526,"Sí")</f>
        <v/>
      </c>
      <c r="F45" s="33">
        <f>D45-E45</f>
        <v/>
      </c>
      <c r="G45" s="33">
        <f>COUNTIFS('100 Cims FEEC'!$C$5:$C$526,B45,'100 Cims FEEC'!$E$5:$E$526,"No essencial",'100 Cims FEEC'!$G$5:$G$526,"Sí")</f>
        <v/>
      </c>
      <c r="H45" s="34">
        <f>IF(D45=0,"-",E45/D45)</f>
        <v/>
      </c>
      <c r="K45" s="45" t="inlineStr">
        <is>
          <t>Z11 · Montcalm-Estats</t>
        </is>
      </c>
      <c r="L45" s="36">
        <f>COUNTIFS('3000 Pirineu'!$D$5:$D$219,K45,'3000 Pirineu'!$E$5:$E$219,"Principal")</f>
        <v/>
      </c>
      <c r="M45" s="36">
        <f>COUNTIFS('3000 Pirineu'!$D$5:$D$219,K45,'3000 Pirineu'!$E$5:$E$219,"Principal",'3000 Pirineu'!$G$5:$G$219,"Sí")</f>
        <v/>
      </c>
      <c r="N45" s="36">
        <f>COUNTIFS('3000 Pirineu'!$D$5:$D$219,K45,'3000 Pirineu'!$E$5:$E$219,"Secundari")</f>
        <v/>
      </c>
      <c r="O45" s="36">
        <f>COUNTIFS('3000 Pirineu'!$D$5:$D$219,K45,'3000 Pirineu'!$E$5:$E$219,"Secundari",'3000 Pirineu'!$G$5:$G$219,"Sí")</f>
        <v/>
      </c>
      <c r="P45" s="46">
        <f>IF(L45+N45=0,0,(M45+O45)/(L45+N45))</f>
        <v/>
      </c>
    </row>
    <row r="46">
      <c r="B46" s="32" t="inlineStr">
        <is>
          <t>Maresme</t>
        </is>
      </c>
      <c r="C46" s="33">
        <f>COUNTIF('100 Cims FEEC'!$C$5:$C$526,B46)</f>
        <v/>
      </c>
      <c r="D46" s="33">
        <f>COUNTIFS('100 Cims FEEC'!$C$5:$C$526,B46,'100 Cims FEEC'!$E$5:$E$526,"Essencial")</f>
        <v/>
      </c>
      <c r="E46" s="33">
        <f>COUNTIFS('100 Cims FEEC'!$C$5:$C$526,B46,'100 Cims FEEC'!$E$5:$E$526,"Essencial",'100 Cims FEEC'!$G$5:$G$526,"Sí")</f>
        <v/>
      </c>
      <c r="F46" s="33">
        <f>D46-E46</f>
        <v/>
      </c>
      <c r="G46" s="33">
        <f>COUNTIFS('100 Cims FEEC'!$C$5:$C$526,B46,'100 Cims FEEC'!$E$5:$E$526,"No essencial",'100 Cims FEEC'!$G$5:$G$526,"Sí")</f>
        <v/>
      </c>
      <c r="H46" s="34">
        <f>IF(D46=0,"-",E46/D46)</f>
        <v/>
      </c>
    </row>
    <row r="47">
      <c r="B47" s="32" t="inlineStr">
        <is>
          <t>Moianès</t>
        </is>
      </c>
      <c r="C47" s="33">
        <f>COUNTIF('100 Cims FEEC'!$C$5:$C$526,B47)</f>
        <v/>
      </c>
      <c r="D47" s="33">
        <f>COUNTIFS('100 Cims FEEC'!$C$5:$C$526,B47,'100 Cims FEEC'!$E$5:$E$526,"Essencial")</f>
        <v/>
      </c>
      <c r="E47" s="33">
        <f>COUNTIFS('100 Cims FEEC'!$C$5:$C$526,B47,'100 Cims FEEC'!$E$5:$E$526,"Essencial",'100 Cims FEEC'!$G$5:$G$526,"Sí")</f>
        <v/>
      </c>
      <c r="F47" s="33">
        <f>D47-E47</f>
        <v/>
      </c>
      <c r="G47" s="33">
        <f>COUNTIFS('100 Cims FEEC'!$C$5:$C$526,B47,'100 Cims FEEC'!$E$5:$E$526,"No essencial",'100 Cims FEEC'!$G$5:$G$526,"Sí")</f>
        <v/>
      </c>
      <c r="H47" s="34">
        <f>IF(D47=0,"-",E47/D47)</f>
        <v/>
      </c>
    </row>
    <row r="48">
      <c r="B48" s="32" t="inlineStr">
        <is>
          <t>Montsià</t>
        </is>
      </c>
      <c r="C48" s="33">
        <f>COUNTIF('100 Cims FEEC'!$C$5:$C$526,B48)</f>
        <v/>
      </c>
      <c r="D48" s="33">
        <f>COUNTIFS('100 Cims FEEC'!$C$5:$C$526,B48,'100 Cims FEEC'!$E$5:$E$526,"Essencial")</f>
        <v/>
      </c>
      <c r="E48" s="33">
        <f>COUNTIFS('100 Cims FEEC'!$C$5:$C$526,B48,'100 Cims FEEC'!$E$5:$E$526,"Essencial",'100 Cims FEEC'!$G$5:$G$526,"Sí")</f>
        <v/>
      </c>
      <c r="F48" s="33">
        <f>D48-E48</f>
        <v/>
      </c>
      <c r="G48" s="33">
        <f>COUNTIFS('100 Cims FEEC'!$C$5:$C$526,B48,'100 Cims FEEC'!$E$5:$E$526,"No essencial",'100 Cims FEEC'!$G$5:$G$526,"Sí")</f>
        <v/>
      </c>
      <c r="H48" s="34">
        <f>IF(D48=0,"-",E48/D48)</f>
        <v/>
      </c>
    </row>
    <row r="49">
      <c r="B49" s="32" t="inlineStr">
        <is>
          <t>Noguera</t>
        </is>
      </c>
      <c r="C49" s="33">
        <f>COUNTIF('100 Cims FEEC'!$C$5:$C$526,B49)</f>
        <v/>
      </c>
      <c r="D49" s="33">
        <f>COUNTIFS('100 Cims FEEC'!$C$5:$C$526,B49,'100 Cims FEEC'!$E$5:$E$526,"Essencial")</f>
        <v/>
      </c>
      <c r="E49" s="33">
        <f>COUNTIFS('100 Cims FEEC'!$C$5:$C$526,B49,'100 Cims FEEC'!$E$5:$E$526,"Essencial",'100 Cims FEEC'!$G$5:$G$526,"Sí")</f>
        <v/>
      </c>
      <c r="F49" s="33">
        <f>D49-E49</f>
        <v/>
      </c>
      <c r="G49" s="33">
        <f>COUNTIFS('100 Cims FEEC'!$C$5:$C$526,B49,'100 Cims FEEC'!$E$5:$E$526,"No essencial",'100 Cims FEEC'!$G$5:$G$526,"Sí")</f>
        <v/>
      </c>
      <c r="H49" s="34">
        <f>IF(D49=0,"-",E49/D49)</f>
        <v/>
      </c>
    </row>
    <row r="50">
      <c r="B50" s="32" t="inlineStr">
        <is>
          <t>Osona</t>
        </is>
      </c>
      <c r="C50" s="33">
        <f>COUNTIF('100 Cims FEEC'!$C$5:$C$526,B50)</f>
        <v/>
      </c>
      <c r="D50" s="33">
        <f>COUNTIFS('100 Cims FEEC'!$C$5:$C$526,B50,'100 Cims FEEC'!$E$5:$E$526,"Essencial")</f>
        <v/>
      </c>
      <c r="E50" s="33">
        <f>COUNTIFS('100 Cims FEEC'!$C$5:$C$526,B50,'100 Cims FEEC'!$E$5:$E$526,"Essencial",'100 Cims FEEC'!$G$5:$G$526,"Sí")</f>
        <v/>
      </c>
      <c r="F50" s="33">
        <f>D50-E50</f>
        <v/>
      </c>
      <c r="G50" s="33">
        <f>COUNTIFS('100 Cims FEEC'!$C$5:$C$526,B50,'100 Cims FEEC'!$E$5:$E$526,"No essencial",'100 Cims FEEC'!$G$5:$G$526,"Sí")</f>
        <v/>
      </c>
      <c r="H50" s="34">
        <f>IF(D50=0,"-",E50/D50)</f>
        <v/>
      </c>
    </row>
    <row r="51">
      <c r="B51" s="32" t="inlineStr">
        <is>
          <t>Pallars Jussà</t>
        </is>
      </c>
      <c r="C51" s="33">
        <f>COUNTIF('100 Cims FEEC'!$C$5:$C$526,B51)</f>
        <v/>
      </c>
      <c r="D51" s="33">
        <f>COUNTIFS('100 Cims FEEC'!$C$5:$C$526,B51,'100 Cims FEEC'!$E$5:$E$526,"Essencial")</f>
        <v/>
      </c>
      <c r="E51" s="33">
        <f>COUNTIFS('100 Cims FEEC'!$C$5:$C$526,B51,'100 Cims FEEC'!$E$5:$E$526,"Essencial",'100 Cims FEEC'!$G$5:$G$526,"Sí")</f>
        <v/>
      </c>
      <c r="F51" s="33">
        <f>D51-E51</f>
        <v/>
      </c>
      <c r="G51" s="33">
        <f>COUNTIFS('100 Cims FEEC'!$C$5:$C$526,B51,'100 Cims FEEC'!$E$5:$E$526,"No essencial",'100 Cims FEEC'!$G$5:$G$526,"Sí")</f>
        <v/>
      </c>
      <c r="H51" s="34">
        <f>IF(D51=0,"-",E51/D51)</f>
        <v/>
      </c>
    </row>
    <row r="52">
      <c r="B52" s="32" t="inlineStr">
        <is>
          <t>Pallars Sobirà</t>
        </is>
      </c>
      <c r="C52" s="33">
        <f>COUNTIF('100 Cims FEEC'!$C$5:$C$526,B52)</f>
        <v/>
      </c>
      <c r="D52" s="33">
        <f>COUNTIFS('100 Cims FEEC'!$C$5:$C$526,B52,'100 Cims FEEC'!$E$5:$E$526,"Essencial")</f>
        <v/>
      </c>
      <c r="E52" s="33">
        <f>COUNTIFS('100 Cims FEEC'!$C$5:$C$526,B52,'100 Cims FEEC'!$E$5:$E$526,"Essencial",'100 Cims FEEC'!$G$5:$G$526,"Sí")</f>
        <v/>
      </c>
      <c r="F52" s="33">
        <f>D52-E52</f>
        <v/>
      </c>
      <c r="G52" s="33">
        <f>COUNTIFS('100 Cims FEEC'!$C$5:$C$526,B52,'100 Cims FEEC'!$E$5:$E$526,"No essencial",'100 Cims FEEC'!$G$5:$G$526,"Sí")</f>
        <v/>
      </c>
      <c r="H52" s="34">
        <f>IF(D52=0,"-",E52/D52)</f>
        <v/>
      </c>
    </row>
    <row r="53">
      <c r="B53" s="32" t="inlineStr">
        <is>
          <t>Pla d'Urgell</t>
        </is>
      </c>
      <c r="C53" s="33">
        <f>COUNTIF('100 Cims FEEC'!$C$5:$C$526,B53)</f>
        <v/>
      </c>
      <c r="D53" s="33">
        <f>COUNTIFS('100 Cims FEEC'!$C$5:$C$526,B53,'100 Cims FEEC'!$E$5:$E$526,"Essencial")</f>
        <v/>
      </c>
      <c r="E53" s="33">
        <f>COUNTIFS('100 Cims FEEC'!$C$5:$C$526,B53,'100 Cims FEEC'!$E$5:$E$526,"Essencial",'100 Cims FEEC'!$G$5:$G$526,"Sí")</f>
        <v/>
      </c>
      <c r="F53" s="33">
        <f>D53-E53</f>
        <v/>
      </c>
      <c r="G53" s="33">
        <f>COUNTIFS('100 Cims FEEC'!$C$5:$C$526,B53,'100 Cims FEEC'!$E$5:$E$526,"No essencial",'100 Cims FEEC'!$G$5:$G$526,"Sí")</f>
        <v/>
      </c>
      <c r="H53" s="34">
        <f>IF(D53=0,"-",E53/D53)</f>
        <v/>
      </c>
    </row>
    <row r="54">
      <c r="B54" s="32" t="inlineStr">
        <is>
          <t>Pla de l'Estany</t>
        </is>
      </c>
      <c r="C54" s="33">
        <f>COUNTIF('100 Cims FEEC'!$C$5:$C$526,B54)</f>
        <v/>
      </c>
      <c r="D54" s="33">
        <f>COUNTIFS('100 Cims FEEC'!$C$5:$C$526,B54,'100 Cims FEEC'!$E$5:$E$526,"Essencial")</f>
        <v/>
      </c>
      <c r="E54" s="33">
        <f>COUNTIFS('100 Cims FEEC'!$C$5:$C$526,B54,'100 Cims FEEC'!$E$5:$E$526,"Essencial",'100 Cims FEEC'!$G$5:$G$526,"Sí")</f>
        <v/>
      </c>
      <c r="F54" s="33">
        <f>D54-E54</f>
        <v/>
      </c>
      <c r="G54" s="33">
        <f>COUNTIFS('100 Cims FEEC'!$C$5:$C$526,B54,'100 Cims FEEC'!$E$5:$E$526,"No essencial",'100 Cims FEEC'!$G$5:$G$526,"Sí")</f>
        <v/>
      </c>
      <c r="H54" s="34">
        <f>IF(D54=0,"-",E54/D54)</f>
        <v/>
      </c>
    </row>
    <row r="55">
      <c r="B55" s="32" t="inlineStr">
        <is>
          <t>Priorat</t>
        </is>
      </c>
      <c r="C55" s="33">
        <f>COUNTIF('100 Cims FEEC'!$C$5:$C$526,B55)</f>
        <v/>
      </c>
      <c r="D55" s="33">
        <f>COUNTIFS('100 Cims FEEC'!$C$5:$C$526,B55,'100 Cims FEEC'!$E$5:$E$526,"Essencial")</f>
        <v/>
      </c>
      <c r="E55" s="33">
        <f>COUNTIFS('100 Cims FEEC'!$C$5:$C$526,B55,'100 Cims FEEC'!$E$5:$E$526,"Essencial",'100 Cims FEEC'!$G$5:$G$526,"Sí")</f>
        <v/>
      </c>
      <c r="F55" s="33">
        <f>D55-E55</f>
        <v/>
      </c>
      <c r="G55" s="33">
        <f>COUNTIFS('100 Cims FEEC'!$C$5:$C$526,B55,'100 Cims FEEC'!$E$5:$E$526,"No essencial",'100 Cims FEEC'!$G$5:$G$526,"Sí")</f>
        <v/>
      </c>
      <c r="H55" s="34">
        <f>IF(D55=0,"-",E55/D55)</f>
        <v/>
      </c>
    </row>
    <row r="56">
      <c r="B56" s="32" t="inlineStr">
        <is>
          <t>Ribera d'Ebre</t>
        </is>
      </c>
      <c r="C56" s="33">
        <f>COUNTIF('100 Cims FEEC'!$C$5:$C$526,B56)</f>
        <v/>
      </c>
      <c r="D56" s="33">
        <f>COUNTIFS('100 Cims FEEC'!$C$5:$C$526,B56,'100 Cims FEEC'!$E$5:$E$526,"Essencial")</f>
        <v/>
      </c>
      <c r="E56" s="33">
        <f>COUNTIFS('100 Cims FEEC'!$C$5:$C$526,B56,'100 Cims FEEC'!$E$5:$E$526,"Essencial",'100 Cims FEEC'!$G$5:$G$526,"Sí")</f>
        <v/>
      </c>
      <c r="F56" s="33">
        <f>D56-E56</f>
        <v/>
      </c>
      <c r="G56" s="33">
        <f>COUNTIFS('100 Cims FEEC'!$C$5:$C$526,B56,'100 Cims FEEC'!$E$5:$E$526,"No essencial",'100 Cims FEEC'!$G$5:$G$526,"Sí")</f>
        <v/>
      </c>
      <c r="H56" s="34">
        <f>IF(D56=0,"-",E56/D56)</f>
        <v/>
      </c>
    </row>
    <row r="57">
      <c r="B57" s="32" t="inlineStr">
        <is>
          <t>Ripollès</t>
        </is>
      </c>
      <c r="C57" s="33">
        <f>COUNTIF('100 Cims FEEC'!$C$5:$C$526,B57)</f>
        <v/>
      </c>
      <c r="D57" s="33">
        <f>COUNTIFS('100 Cims FEEC'!$C$5:$C$526,B57,'100 Cims FEEC'!$E$5:$E$526,"Essencial")</f>
        <v/>
      </c>
      <c r="E57" s="33">
        <f>COUNTIFS('100 Cims FEEC'!$C$5:$C$526,B57,'100 Cims FEEC'!$E$5:$E$526,"Essencial",'100 Cims FEEC'!$G$5:$G$526,"Sí")</f>
        <v/>
      </c>
      <c r="F57" s="33">
        <f>D57-E57</f>
        <v/>
      </c>
      <c r="G57" s="33">
        <f>COUNTIFS('100 Cims FEEC'!$C$5:$C$526,B57,'100 Cims FEEC'!$E$5:$E$526,"No essencial",'100 Cims FEEC'!$G$5:$G$526,"Sí")</f>
        <v/>
      </c>
      <c r="H57" s="34">
        <f>IF(D57=0,"-",E57/D57)</f>
        <v/>
      </c>
    </row>
    <row r="58">
      <c r="B58" s="32" t="inlineStr">
        <is>
          <t>Rosselló</t>
        </is>
      </c>
      <c r="C58" s="33">
        <f>COUNTIF('100 Cims FEEC'!$C$5:$C$526,B58)</f>
        <v/>
      </c>
      <c r="D58" s="33">
        <f>COUNTIFS('100 Cims FEEC'!$C$5:$C$526,B58,'100 Cims FEEC'!$E$5:$E$526,"Essencial")</f>
        <v/>
      </c>
      <c r="E58" s="33">
        <f>COUNTIFS('100 Cims FEEC'!$C$5:$C$526,B58,'100 Cims FEEC'!$E$5:$E$526,"Essencial",'100 Cims FEEC'!$G$5:$G$526,"Sí")</f>
        <v/>
      </c>
      <c r="F58" s="33">
        <f>D58-E58</f>
        <v/>
      </c>
      <c r="G58" s="33">
        <f>COUNTIFS('100 Cims FEEC'!$C$5:$C$526,B58,'100 Cims FEEC'!$E$5:$E$526,"No essencial",'100 Cims FEEC'!$G$5:$G$526,"Sí")</f>
        <v/>
      </c>
      <c r="H58" s="34">
        <f>IF(D58=0,"-",E58/D58)</f>
        <v/>
      </c>
    </row>
    <row r="59">
      <c r="B59" s="32" t="inlineStr">
        <is>
          <t>Segarra</t>
        </is>
      </c>
      <c r="C59" s="33">
        <f>COUNTIF('100 Cims FEEC'!$C$5:$C$526,B59)</f>
        <v/>
      </c>
      <c r="D59" s="33">
        <f>COUNTIFS('100 Cims FEEC'!$C$5:$C$526,B59,'100 Cims FEEC'!$E$5:$E$526,"Essencial")</f>
        <v/>
      </c>
      <c r="E59" s="33">
        <f>COUNTIFS('100 Cims FEEC'!$C$5:$C$526,B59,'100 Cims FEEC'!$E$5:$E$526,"Essencial",'100 Cims FEEC'!$G$5:$G$526,"Sí")</f>
        <v/>
      </c>
      <c r="F59" s="33">
        <f>D59-E59</f>
        <v/>
      </c>
      <c r="G59" s="33">
        <f>COUNTIFS('100 Cims FEEC'!$C$5:$C$526,B59,'100 Cims FEEC'!$E$5:$E$526,"No essencial",'100 Cims FEEC'!$G$5:$G$526,"Sí")</f>
        <v/>
      </c>
      <c r="H59" s="34">
        <f>IF(D59=0,"-",E59/D59)</f>
        <v/>
      </c>
    </row>
    <row r="60">
      <c r="B60" s="32" t="inlineStr">
        <is>
          <t>Segrià</t>
        </is>
      </c>
      <c r="C60" s="33">
        <f>COUNTIF('100 Cims FEEC'!$C$5:$C$526,B60)</f>
        <v/>
      </c>
      <c r="D60" s="33">
        <f>COUNTIFS('100 Cims FEEC'!$C$5:$C$526,B60,'100 Cims FEEC'!$E$5:$E$526,"Essencial")</f>
        <v/>
      </c>
      <c r="E60" s="33">
        <f>COUNTIFS('100 Cims FEEC'!$C$5:$C$526,B60,'100 Cims FEEC'!$E$5:$E$526,"Essencial",'100 Cims FEEC'!$G$5:$G$526,"Sí")</f>
        <v/>
      </c>
      <c r="F60" s="33">
        <f>D60-E60</f>
        <v/>
      </c>
      <c r="G60" s="33">
        <f>COUNTIFS('100 Cims FEEC'!$C$5:$C$526,B60,'100 Cims FEEC'!$E$5:$E$526,"No essencial",'100 Cims FEEC'!$G$5:$G$526,"Sí")</f>
        <v/>
      </c>
      <c r="H60" s="34">
        <f>IF(D60=0,"-",E60/D60)</f>
        <v/>
      </c>
    </row>
    <row r="61">
      <c r="B61" s="32" t="inlineStr">
        <is>
          <t>Selva</t>
        </is>
      </c>
      <c r="C61" s="33">
        <f>COUNTIF('100 Cims FEEC'!$C$5:$C$526,B61)</f>
        <v/>
      </c>
      <c r="D61" s="33">
        <f>COUNTIFS('100 Cims FEEC'!$C$5:$C$526,B61,'100 Cims FEEC'!$E$5:$E$526,"Essencial")</f>
        <v/>
      </c>
      <c r="E61" s="33">
        <f>COUNTIFS('100 Cims FEEC'!$C$5:$C$526,B61,'100 Cims FEEC'!$E$5:$E$526,"Essencial",'100 Cims FEEC'!$G$5:$G$526,"Sí")</f>
        <v/>
      </c>
      <c r="F61" s="33">
        <f>D61-E61</f>
        <v/>
      </c>
      <c r="G61" s="33">
        <f>COUNTIFS('100 Cims FEEC'!$C$5:$C$526,B61,'100 Cims FEEC'!$E$5:$E$526,"No essencial",'100 Cims FEEC'!$G$5:$G$526,"Sí")</f>
        <v/>
      </c>
      <c r="H61" s="34">
        <f>IF(D61=0,"-",E61/D61)</f>
        <v/>
      </c>
    </row>
    <row r="62">
      <c r="B62" s="32" t="inlineStr">
        <is>
          <t>Solsonès</t>
        </is>
      </c>
      <c r="C62" s="33">
        <f>COUNTIF('100 Cims FEEC'!$C$5:$C$526,B62)</f>
        <v/>
      </c>
      <c r="D62" s="33">
        <f>COUNTIFS('100 Cims FEEC'!$C$5:$C$526,B62,'100 Cims FEEC'!$E$5:$E$526,"Essencial")</f>
        <v/>
      </c>
      <c r="E62" s="33">
        <f>COUNTIFS('100 Cims FEEC'!$C$5:$C$526,B62,'100 Cims FEEC'!$E$5:$E$526,"Essencial",'100 Cims FEEC'!$G$5:$G$526,"Sí")</f>
        <v/>
      </c>
      <c r="F62" s="33">
        <f>D62-E62</f>
        <v/>
      </c>
      <c r="G62" s="33">
        <f>COUNTIFS('100 Cims FEEC'!$C$5:$C$526,B62,'100 Cims FEEC'!$E$5:$E$526,"No essencial",'100 Cims FEEC'!$G$5:$G$526,"Sí")</f>
        <v/>
      </c>
      <c r="H62" s="34">
        <f>IF(D62=0,"-",E62/D62)</f>
        <v/>
      </c>
    </row>
    <row r="63">
      <c r="B63" s="32" t="inlineStr">
        <is>
          <t>Tarragonès</t>
        </is>
      </c>
      <c r="C63" s="33">
        <f>COUNTIF('100 Cims FEEC'!$C$5:$C$526,B63)</f>
        <v/>
      </c>
      <c r="D63" s="33">
        <f>COUNTIFS('100 Cims FEEC'!$C$5:$C$526,B63,'100 Cims FEEC'!$E$5:$E$526,"Essencial")</f>
        <v/>
      </c>
      <c r="E63" s="33">
        <f>COUNTIFS('100 Cims FEEC'!$C$5:$C$526,B63,'100 Cims FEEC'!$E$5:$E$526,"Essencial",'100 Cims FEEC'!$G$5:$G$526,"Sí")</f>
        <v/>
      </c>
      <c r="F63" s="33">
        <f>D63-E63</f>
        <v/>
      </c>
      <c r="G63" s="33">
        <f>COUNTIFS('100 Cims FEEC'!$C$5:$C$526,B63,'100 Cims FEEC'!$E$5:$E$526,"No essencial",'100 Cims FEEC'!$G$5:$G$526,"Sí")</f>
        <v/>
      </c>
      <c r="H63" s="34">
        <f>IF(D63=0,"-",E63/D63)</f>
        <v/>
      </c>
    </row>
    <row r="64">
      <c r="B64" s="32" t="inlineStr">
        <is>
          <t>Terra Alta</t>
        </is>
      </c>
      <c r="C64" s="33">
        <f>COUNTIF('100 Cims FEEC'!$C$5:$C$526,B64)</f>
        <v/>
      </c>
      <c r="D64" s="33">
        <f>COUNTIFS('100 Cims FEEC'!$C$5:$C$526,B64,'100 Cims FEEC'!$E$5:$E$526,"Essencial")</f>
        <v/>
      </c>
      <c r="E64" s="33">
        <f>COUNTIFS('100 Cims FEEC'!$C$5:$C$526,B64,'100 Cims FEEC'!$E$5:$E$526,"Essencial",'100 Cims FEEC'!$G$5:$G$526,"Sí")</f>
        <v/>
      </c>
      <c r="F64" s="33">
        <f>D64-E64</f>
        <v/>
      </c>
      <c r="G64" s="33">
        <f>COUNTIFS('100 Cims FEEC'!$C$5:$C$526,B64,'100 Cims FEEC'!$E$5:$E$526,"No essencial",'100 Cims FEEC'!$G$5:$G$526,"Sí")</f>
        <v/>
      </c>
      <c r="H64" s="34">
        <f>IF(D64=0,"-",E64/D64)</f>
        <v/>
      </c>
    </row>
    <row r="65">
      <c r="B65" s="32" t="inlineStr">
        <is>
          <t>Urgell</t>
        </is>
      </c>
      <c r="C65" s="33">
        <f>COUNTIF('100 Cims FEEC'!$C$5:$C$526,B65)</f>
        <v/>
      </c>
      <c r="D65" s="33">
        <f>COUNTIFS('100 Cims FEEC'!$C$5:$C$526,B65,'100 Cims FEEC'!$E$5:$E$526,"Essencial")</f>
        <v/>
      </c>
      <c r="E65" s="33">
        <f>COUNTIFS('100 Cims FEEC'!$C$5:$C$526,B65,'100 Cims FEEC'!$E$5:$E$526,"Essencial",'100 Cims FEEC'!$G$5:$G$526,"Sí")</f>
        <v/>
      </c>
      <c r="F65" s="33">
        <f>D65-E65</f>
        <v/>
      </c>
      <c r="G65" s="33">
        <f>COUNTIFS('100 Cims FEEC'!$C$5:$C$526,B65,'100 Cims FEEC'!$E$5:$E$526,"No essencial",'100 Cims FEEC'!$G$5:$G$526,"Sí")</f>
        <v/>
      </c>
      <c r="H65" s="34">
        <f>IF(D65=0,"-",E65/D65)</f>
        <v/>
      </c>
    </row>
    <row r="66">
      <c r="B66" s="32" t="inlineStr">
        <is>
          <t>Val d'Aran</t>
        </is>
      </c>
      <c r="C66" s="33">
        <f>COUNTIF('100 Cims FEEC'!$C$5:$C$526,B66)</f>
        <v/>
      </c>
      <c r="D66" s="33">
        <f>COUNTIFS('100 Cims FEEC'!$C$5:$C$526,B66,'100 Cims FEEC'!$E$5:$E$526,"Essencial")</f>
        <v/>
      </c>
      <c r="E66" s="33">
        <f>COUNTIFS('100 Cims FEEC'!$C$5:$C$526,B66,'100 Cims FEEC'!$E$5:$E$526,"Essencial",'100 Cims FEEC'!$G$5:$G$526,"Sí")</f>
        <v/>
      </c>
      <c r="F66" s="33">
        <f>D66-E66</f>
        <v/>
      </c>
      <c r="G66" s="33">
        <f>COUNTIFS('100 Cims FEEC'!$C$5:$C$526,B66,'100 Cims FEEC'!$E$5:$E$526,"No essencial",'100 Cims FEEC'!$G$5:$G$526,"Sí")</f>
        <v/>
      </c>
      <c r="H66" s="34">
        <f>IF(D66=0,"-",E66/D66)</f>
        <v/>
      </c>
    </row>
    <row r="67">
      <c r="B67" s="32" t="inlineStr">
        <is>
          <t>Vallès Occidental</t>
        </is>
      </c>
      <c r="C67" s="33">
        <f>COUNTIF('100 Cims FEEC'!$C$5:$C$526,B67)</f>
        <v/>
      </c>
      <c r="D67" s="33">
        <f>COUNTIFS('100 Cims FEEC'!$C$5:$C$526,B67,'100 Cims FEEC'!$E$5:$E$526,"Essencial")</f>
        <v/>
      </c>
      <c r="E67" s="33">
        <f>COUNTIFS('100 Cims FEEC'!$C$5:$C$526,B67,'100 Cims FEEC'!$E$5:$E$526,"Essencial",'100 Cims FEEC'!$G$5:$G$526,"Sí")</f>
        <v/>
      </c>
      <c r="F67" s="33">
        <f>D67-E67</f>
        <v/>
      </c>
      <c r="G67" s="33">
        <f>COUNTIFS('100 Cims FEEC'!$C$5:$C$526,B67,'100 Cims FEEC'!$E$5:$E$526,"No essencial",'100 Cims FEEC'!$G$5:$G$526,"Sí")</f>
        <v/>
      </c>
      <c r="H67" s="34">
        <f>IF(D67=0,"-",E67/D67)</f>
        <v/>
      </c>
    </row>
    <row r="68">
      <c r="B68" s="32" t="inlineStr">
        <is>
          <t>Vallès Oriental</t>
        </is>
      </c>
      <c r="C68" s="33">
        <f>COUNTIF('100 Cims FEEC'!$C$5:$C$526,B68)</f>
        <v/>
      </c>
      <c r="D68" s="33">
        <f>COUNTIFS('100 Cims FEEC'!$C$5:$C$526,B68,'100 Cims FEEC'!$E$5:$E$526,"Essencial")</f>
        <v/>
      </c>
      <c r="E68" s="33">
        <f>COUNTIFS('100 Cims FEEC'!$C$5:$C$526,B68,'100 Cims FEEC'!$E$5:$E$526,"Essencial",'100 Cims FEEC'!$G$5:$G$526,"Sí")</f>
        <v/>
      </c>
      <c r="F68" s="33">
        <f>D68-E68</f>
        <v/>
      </c>
      <c r="G68" s="33">
        <f>COUNTIFS('100 Cims FEEC'!$C$5:$C$526,B68,'100 Cims FEEC'!$E$5:$E$526,"No essencial",'100 Cims FEEC'!$G$5:$G$526,"Sí")</f>
        <v/>
      </c>
      <c r="H68" s="34">
        <f>IF(D68=0,"-",E68/D68)</f>
        <v/>
      </c>
    </row>
    <row r="69">
      <c r="B69" s="32" t="inlineStr">
        <is>
          <t>Vallespir</t>
        </is>
      </c>
      <c r="C69" s="33">
        <f>COUNTIF('100 Cims FEEC'!$C$5:$C$526,B69)</f>
        <v/>
      </c>
      <c r="D69" s="33">
        <f>COUNTIFS('100 Cims FEEC'!$C$5:$C$526,B69,'100 Cims FEEC'!$E$5:$E$526,"Essencial")</f>
        <v/>
      </c>
      <c r="E69" s="33">
        <f>COUNTIFS('100 Cims FEEC'!$C$5:$C$526,B69,'100 Cims FEEC'!$E$5:$E$526,"Essencial",'100 Cims FEEC'!$G$5:$G$526,"Sí")</f>
        <v/>
      </c>
      <c r="F69" s="33">
        <f>D69-E69</f>
        <v/>
      </c>
      <c r="G69" s="33">
        <f>COUNTIFS('100 Cims FEEC'!$C$5:$C$526,B69,'100 Cims FEEC'!$E$5:$E$526,"No essencial",'100 Cims FEEC'!$G$5:$G$526,"Sí")</f>
        <v/>
      </c>
      <c r="H69" s="34">
        <f>IF(D69=0,"-",E69/D69)</f>
        <v/>
      </c>
    </row>
    <row r="70">
      <c r="B70" s="47" t="inlineStr">
        <is>
          <t>Total</t>
        </is>
      </c>
      <c r="C70" s="48">
        <f>SUBTOTAL(109,C22:C69)</f>
        <v/>
      </c>
      <c r="D70" s="48">
        <f>SUBTOTAL(109,D22:D69)</f>
        <v/>
      </c>
      <c r="E70" s="48">
        <f>SUBTOTAL(109,E22:E69)</f>
        <v/>
      </c>
      <c r="F70" s="48">
        <f>SUBTOTAL(109,F22:F69)</f>
        <v/>
      </c>
      <c r="G70" s="48">
        <f>SUBTOTAL(109,G22:G69)</f>
        <v/>
      </c>
      <c r="H70" s="49">
        <f>IF(D70=0,"-",E70/D70)</f>
        <v/>
      </c>
    </row>
  </sheetData>
  <mergeCells count="8">
    <mergeCell ref="C14:I14"/>
    <mergeCell ref="B4:B5"/>
    <mergeCell ref="C18:I18"/>
    <mergeCell ref="C8:I8"/>
    <mergeCell ref="B11:B12"/>
    <mergeCell ref="C7:I7"/>
    <mergeCell ref="C16:I16"/>
    <mergeCell ref="C15:I15"/>
  </mergeCells>
  <conditionalFormatting sqref="H22:H69">
    <cfRule type="dataBar" priority="1">
      <dataBar>
        <cfvo type="num" val="0"/>
        <cfvo type="num" val="1"/>
        <color rgb="00A8D8B9"/>
      </dataBar>
    </cfRule>
  </conditionalFormatting>
  <conditionalFormatting sqref="B22:H69">
    <cfRule type="expression" priority="2" dxfId="0">
      <formula>AND($D22&gt;0,$E22=$D22)</formula>
    </cfRule>
  </conditionalFormatting>
  <conditionalFormatting sqref="F22:F69">
    <cfRule type="cellIs" priority="3" operator="greaterThan" dxfId="1">
      <formula>0</formula>
    </cfRule>
  </conditionalFormatting>
  <conditionalFormatting sqref="P35:P45">
    <cfRule type="dataBar" priority="4">
      <dataBar>
        <cfvo type="num" val="0"/>
        <cfvo type="num" val="1"/>
        <color rgb="009FC9E8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A8D8B9"/>
    <outlinePr summaryBelow="1" summaryRight="1"/>
    <pageSetUpPr/>
  </sheetPr>
  <dimension ref="A1:O5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20" customWidth="1" min="3" max="3"/>
    <col width="30" customWidth="1" min="4" max="4"/>
    <col width="14" customWidth="1" min="5" max="5"/>
    <col width="18" customWidth="1" min="6" max="6"/>
    <col width="10" customWidth="1" min="7" max="7"/>
    <col width="12" customWidth="1" min="8" max="8"/>
    <col width="30" customWidth="1" min="9" max="9"/>
    <col width="11" customWidth="1" min="10" max="10"/>
    <col width="11" customWidth="1" min="11" max="11"/>
    <col width="11" customWidth="1" min="12" max="12"/>
    <col width="9" customWidth="1" min="13" max="13"/>
    <col width="11" customWidth="1" min="14" max="14"/>
    <col width="40" customWidth="1" min="15" max="15"/>
  </cols>
  <sheetData>
    <row r="1" ht="30" customHeight="1">
      <c r="A1" s="50" t="inlineStr">
        <is>
          <t>Repte dels 100 Cims · Llista FEEC</t>
        </is>
      </c>
    </row>
    <row r="2" ht="18" customHeight="1">
      <c r="A2" s="2" t="inlineStr">
        <is>
          <t>522 cims · 150 essencials · columnes grogues editables («Assolit» Sí/No i «Data», que es pot deixar en blanc) · ordenat per comarca i altitud</t>
        </is>
      </c>
    </row>
    <row r="4" ht="32" customHeight="1">
      <c r="A4" s="29" t="inlineStr">
        <is>
          <t>Cim</t>
        </is>
      </c>
      <c r="B4" s="29" t="inlineStr">
        <is>
          <t>Altitud (m)</t>
        </is>
      </c>
      <c r="C4" s="29" t="inlineStr">
        <is>
          <t>Comarca principal</t>
        </is>
      </c>
      <c r="D4" s="29" t="inlineStr">
        <is>
          <t>Comarques / territoris</t>
        </is>
      </c>
      <c r="E4" s="30" t="inlineStr">
        <is>
          <t>Tipus</t>
        </is>
      </c>
      <c r="F4" s="51" t="inlineStr">
        <is>
          <t>Sostre comarcal</t>
        </is>
      </c>
      <c r="G4" s="51" t="inlineStr">
        <is>
          <t>Assolit</t>
        </is>
      </c>
      <c r="H4" s="51" t="inlineStr">
        <is>
          <t>Data</t>
        </is>
      </c>
      <c r="I4" s="29" t="inlineStr">
        <is>
          <t>Punt(s) al meu KMZ</t>
        </is>
      </c>
      <c r="J4" s="29" t="inlineStr">
        <is>
          <t>Latitud</t>
        </is>
      </c>
      <c r="K4" s="29" t="inlineStr">
        <is>
          <t>Longitud</t>
        </is>
      </c>
      <c r="L4" s="29" t="inlineStr">
        <is>
          <t>Fitxa FEEC</t>
        </is>
      </c>
      <c r="M4" s="29" t="inlineStr">
        <is>
          <t>Mapa</t>
        </is>
      </c>
      <c r="N4" s="29" t="inlineStr">
        <is>
          <t>Ascensions</t>
        </is>
      </c>
      <c r="O4" s="29" t="inlineStr">
        <is>
          <t>Dates de les ascensions</t>
        </is>
      </c>
    </row>
    <row r="5">
      <c r="A5" s="32" t="inlineStr">
        <is>
          <t>Montagut d’Ancosa</t>
        </is>
      </c>
      <c r="B5" s="52" t="n">
        <v>963</v>
      </c>
      <c r="C5" s="53" t="inlineStr">
        <is>
          <t>Alt Camp</t>
        </is>
      </c>
      <c r="D5" s="53" t="inlineStr">
        <is>
          <t>Alt Camp</t>
        </is>
      </c>
      <c r="E5" s="33" t="inlineStr">
        <is>
          <t>No essencial</t>
        </is>
      </c>
      <c r="F5" s="53" t="n"/>
      <c r="G5" s="33"/>
      <c r="H5" s="54"/>
      <c r="I5" s="53"/>
      <c r="J5" s="55" t="n">
        <v>41.40688</v>
      </c>
      <c r="K5" s="55" t="n">
        <v>1.42226</v>
      </c>
      <c r="L5" s="56" t="inlineStr">
        <is>
          <t>Fitxa ↗</t>
        </is>
      </c>
      <c r="M5" s="56" t="inlineStr">
        <is>
          <t>Mapa ↗</t>
        </is>
      </c>
      <c r="N5" s="33"/>
      <c r="O5" s="53"/>
    </row>
    <row r="6">
      <c r="A6" s="32" t="inlineStr">
        <is>
          <t>El Cogulló de Cabra</t>
        </is>
      </c>
      <c r="B6" s="52" t="n">
        <v>881</v>
      </c>
      <c r="C6" s="53" t="inlineStr">
        <is>
          <t>Alt Camp</t>
        </is>
      </c>
      <c r="D6" s="53" t="inlineStr">
        <is>
          <t>Alt Camp</t>
        </is>
      </c>
      <c r="E6" s="33" t="inlineStr">
        <is>
          <t>Essencial</t>
        </is>
      </c>
      <c r="F6" s="53" t="n"/>
      <c r="G6" s="33"/>
      <c r="H6" s="54"/>
      <c r="I6" s="53"/>
      <c r="J6" s="55" t="n">
        <v>41.42904</v>
      </c>
      <c r="K6" s="55" t="n">
        <v>1.30576</v>
      </c>
      <c r="L6" s="56" t="inlineStr">
        <is>
          <t>Fitxa ↗</t>
        </is>
      </c>
      <c r="M6" s="56" t="inlineStr">
        <is>
          <t>Mapa ↗</t>
        </is>
      </c>
      <c r="N6" s="33"/>
      <c r="O6" s="53"/>
    </row>
    <row r="7">
      <c r="A7" s="32" t="inlineStr">
        <is>
          <t>El Tossal Gros</t>
        </is>
      </c>
      <c r="B7" s="52" t="n">
        <v>867</v>
      </c>
      <c r="C7" s="53" t="inlineStr">
        <is>
          <t>Alt Camp</t>
        </is>
      </c>
      <c r="D7" s="53" t="inlineStr">
        <is>
          <t>Alt Camp, Conca de Barberà</t>
        </is>
      </c>
      <c r="E7" s="33" t="inlineStr">
        <is>
          <t>Essencial</t>
        </is>
      </c>
      <c r="F7" s="53" t="n"/>
      <c r="G7" s="33"/>
      <c r="H7" s="54"/>
      <c r="I7" s="53"/>
      <c r="J7" s="55" t="n">
        <v>41.37536</v>
      </c>
      <c r="K7" s="55" t="n">
        <v>1.23939</v>
      </c>
      <c r="L7" s="56" t="inlineStr">
        <is>
          <t>Fitxa ↗</t>
        </is>
      </c>
      <c r="M7" s="56" t="inlineStr">
        <is>
          <t>Mapa ↗</t>
        </is>
      </c>
      <c r="N7" s="33"/>
      <c r="O7" s="53"/>
    </row>
    <row r="8">
      <c r="A8" s="32" t="inlineStr">
        <is>
          <t>La Cogulla</t>
        </is>
      </c>
      <c r="B8" s="52" t="n">
        <v>786</v>
      </c>
      <c r="C8" s="53" t="inlineStr">
        <is>
          <t>Alt Camp</t>
        </is>
      </c>
      <c r="D8" s="53" t="inlineStr">
        <is>
          <t>Alt Camp, Conca de Barberà</t>
        </is>
      </c>
      <c r="E8" s="33" t="inlineStr">
        <is>
          <t>No essencial</t>
        </is>
      </c>
      <c r="F8" s="53" t="n"/>
      <c r="G8" s="33"/>
      <c r="H8" s="54"/>
      <c r="I8" s="53"/>
      <c r="J8" s="55" t="n">
        <v>41.3488</v>
      </c>
      <c r="K8" s="55" t="n">
        <v>1.22483</v>
      </c>
      <c r="L8" s="56" t="inlineStr">
        <is>
          <t>Fitxa ↗</t>
        </is>
      </c>
      <c r="M8" s="56" t="inlineStr">
        <is>
          <t>Mapa ↗</t>
        </is>
      </c>
      <c r="N8" s="33"/>
      <c r="O8" s="53"/>
    </row>
    <row r="9">
      <c r="A9" s="32" t="inlineStr">
        <is>
          <t>Puigcabrer</t>
        </is>
      </c>
      <c r="B9" s="52" t="n">
        <v>524</v>
      </c>
      <c r="C9" s="53" t="inlineStr">
        <is>
          <t>Alt Camp</t>
        </is>
      </c>
      <c r="D9" s="53" t="inlineStr">
        <is>
          <t>Alt Camp</t>
        </is>
      </c>
      <c r="E9" s="33" t="inlineStr">
        <is>
          <t>No essencial</t>
        </is>
      </c>
      <c r="F9" s="53" t="n"/>
      <c r="G9" s="33"/>
      <c r="H9" s="54"/>
      <c r="I9" s="53"/>
      <c r="J9" s="55" t="n">
        <v>41.31533</v>
      </c>
      <c r="K9" s="55" t="n">
        <v>1.19129</v>
      </c>
      <c r="L9" s="56" t="inlineStr">
        <is>
          <t>Fitxa ↗</t>
        </is>
      </c>
      <c r="M9" s="56" t="inlineStr">
        <is>
          <t>Mapa ↗</t>
        </is>
      </c>
      <c r="N9" s="33"/>
      <c r="O9" s="53"/>
    </row>
    <row r="10">
      <c r="A10" s="32" t="inlineStr">
        <is>
          <t>Tossa Grossa de Montferri</t>
        </is>
      </c>
      <c r="B10" s="52" t="n">
        <v>387</v>
      </c>
      <c r="C10" s="53" t="inlineStr">
        <is>
          <t>Alt Camp</t>
        </is>
      </c>
      <c r="D10" s="53" t="inlineStr">
        <is>
          <t>Alt Camp</t>
        </is>
      </c>
      <c r="E10" s="33" t="inlineStr">
        <is>
          <t>Essencial</t>
        </is>
      </c>
      <c r="F10" s="53" t="n"/>
      <c r="G10" s="33"/>
      <c r="H10" s="54"/>
      <c r="I10" s="53"/>
      <c r="J10" s="55" t="n">
        <v>41.25345</v>
      </c>
      <c r="K10" s="55" t="n">
        <v>1.37048</v>
      </c>
      <c r="L10" s="56" t="inlineStr">
        <is>
          <t>Fitxa ↗</t>
        </is>
      </c>
      <c r="M10" s="56" t="inlineStr">
        <is>
          <t>Mapa ↗</t>
        </is>
      </c>
      <c r="N10" s="33"/>
      <c r="O10" s="53"/>
    </row>
    <row r="11">
      <c r="A11" s="32" t="inlineStr">
        <is>
          <t>Roc del Comptador</t>
        </is>
      </c>
      <c r="B11" s="52" t="n">
        <v>1451</v>
      </c>
      <c r="C11" s="53" t="inlineStr">
        <is>
          <t>Alt Empordà</t>
        </is>
      </c>
      <c r="D11" s="53" t="inlineStr">
        <is>
          <t>Alt Empordà, Vallespir</t>
        </is>
      </c>
      <c r="E11" s="33" t="inlineStr">
        <is>
          <t>Essencial</t>
        </is>
      </c>
      <c r="F11" s="53" t="inlineStr">
        <is>
          <t>Alt Empordà</t>
        </is>
      </c>
      <c r="G11" s="33"/>
      <c r="H11" s="54"/>
      <c r="I11" s="53"/>
      <c r="J11" s="55" t="n">
        <v>42.42279</v>
      </c>
      <c r="K11" s="55" t="n">
        <v>2.72729</v>
      </c>
      <c r="L11" s="56" t="inlineStr">
        <is>
          <t>Fitxa ↗</t>
        </is>
      </c>
      <c r="M11" s="56" t="inlineStr">
        <is>
          <t>Mapa ↗</t>
        </is>
      </c>
      <c r="N11" s="33"/>
      <c r="O11" s="53"/>
    </row>
    <row r="12">
      <c r="A12" s="32" t="inlineStr">
        <is>
          <t>Puig de les Bruixes</t>
        </is>
      </c>
      <c r="B12" s="52" t="n">
        <v>1391</v>
      </c>
      <c r="C12" s="53" t="inlineStr">
        <is>
          <t>Alt Empordà</t>
        </is>
      </c>
      <c r="D12" s="53" t="inlineStr">
        <is>
          <t>Alt Empordà, Garrotxa</t>
        </is>
      </c>
      <c r="E12" s="33" t="inlineStr">
        <is>
          <t>No essencial</t>
        </is>
      </c>
      <c r="F12" s="53" t="n"/>
      <c r="G12" s="33"/>
      <c r="H12" s="54"/>
      <c r="I12" s="53"/>
      <c r="J12" s="55" t="n">
        <v>42.32449</v>
      </c>
      <c r="K12" s="55" t="n">
        <v>2.5555</v>
      </c>
      <c r="L12" s="56" t="inlineStr">
        <is>
          <t>Fitxa ↗</t>
        </is>
      </c>
      <c r="M12" s="56" t="inlineStr">
        <is>
          <t>Mapa ↗</t>
        </is>
      </c>
      <c r="N12" s="33"/>
      <c r="O12" s="53"/>
    </row>
    <row r="13">
      <c r="A13" s="32" t="inlineStr">
        <is>
          <t>Bassegoda</t>
        </is>
      </c>
      <c r="B13" s="52" t="n">
        <v>1373</v>
      </c>
      <c r="C13" s="53" t="inlineStr">
        <is>
          <t>Alt Empordà</t>
        </is>
      </c>
      <c r="D13" s="53" t="inlineStr">
        <is>
          <t>Alt Empordà, Garrotxa</t>
        </is>
      </c>
      <c r="E13" s="33" t="inlineStr">
        <is>
          <t>Essencial</t>
        </is>
      </c>
      <c r="F13" s="53" t="n"/>
      <c r="G13" s="33"/>
      <c r="H13" s="54"/>
      <c r="I13" s="53"/>
      <c r="J13" s="55" t="n">
        <v>42.3128</v>
      </c>
      <c r="K13" s="55" t="n">
        <v>2.63073</v>
      </c>
      <c r="L13" s="56" t="inlineStr">
        <is>
          <t>Fitxa ↗</t>
        </is>
      </c>
      <c r="M13" s="56" t="inlineStr">
        <is>
          <t>Mapa ↗</t>
        </is>
      </c>
      <c r="N13" s="33"/>
      <c r="O13" s="53"/>
    </row>
    <row r="14">
      <c r="A14" s="32" t="inlineStr">
        <is>
          <t>Puig Neulós</t>
        </is>
      </c>
      <c r="B14" s="52" t="n">
        <v>1257</v>
      </c>
      <c r="C14" s="53" t="inlineStr">
        <is>
          <t>Alt Empordà</t>
        </is>
      </c>
      <c r="D14" s="53" t="inlineStr">
        <is>
          <t>Alt Empordà, Rosselló</t>
        </is>
      </c>
      <c r="E14" s="33" t="inlineStr">
        <is>
          <t>Essencial</t>
        </is>
      </c>
      <c r="F14" s="53" t="n"/>
      <c r="G14" s="33"/>
      <c r="H14" s="54"/>
      <c r="I14" s="53"/>
      <c r="J14" s="55" t="n">
        <v>42.4821</v>
      </c>
      <c r="K14" s="55" t="n">
        <v>2.94711</v>
      </c>
      <c r="L14" s="56" t="inlineStr">
        <is>
          <t>Fitxa ↗</t>
        </is>
      </c>
      <c r="M14" s="56" t="inlineStr">
        <is>
          <t>Mapa ↗</t>
        </is>
      </c>
      <c r="N14" s="33"/>
      <c r="O14" s="53"/>
    </row>
    <row r="15">
      <c r="A15" s="32" t="inlineStr">
        <is>
          <t>El Mont</t>
        </is>
      </c>
      <c r="B15" s="52" t="n">
        <v>1125</v>
      </c>
      <c r="C15" s="53" t="inlineStr">
        <is>
          <t>Alt Empordà</t>
        </is>
      </c>
      <c r="D15" s="53" t="inlineStr">
        <is>
          <t>Alt Empordà</t>
        </is>
      </c>
      <c r="E15" s="33" t="inlineStr">
        <is>
          <t>Essencial</t>
        </is>
      </c>
      <c r="F15" s="53" t="n"/>
      <c r="G15" s="33"/>
      <c r="H15" s="54"/>
      <c r="I15" s="53"/>
      <c r="J15" s="55" t="n">
        <v>42.25885</v>
      </c>
      <c r="K15" s="55" t="n">
        <v>2.7063</v>
      </c>
      <c r="L15" s="56" t="inlineStr">
        <is>
          <t>Fitxa ↗</t>
        </is>
      </c>
      <c r="M15" s="56" t="inlineStr">
        <is>
          <t>Mapa ↗</t>
        </is>
      </c>
      <c r="N15" s="33"/>
      <c r="O15" s="53"/>
    </row>
    <row r="16">
      <c r="A16" s="32" t="inlineStr">
        <is>
          <t>Puig Falcó</t>
        </is>
      </c>
      <c r="B16" s="52" t="n">
        <v>1097</v>
      </c>
      <c r="C16" s="53" t="inlineStr">
        <is>
          <t>Alt Empordà</t>
        </is>
      </c>
      <c r="D16" s="53" t="inlineStr">
        <is>
          <t>Alt Empordà</t>
        </is>
      </c>
      <c r="E16" s="33" t="inlineStr">
        <is>
          <t>No essencial</t>
        </is>
      </c>
      <c r="F16" s="53" t="n"/>
      <c r="G16" s="33"/>
      <c r="H16" s="54"/>
      <c r="I16" s="53"/>
      <c r="J16" s="55" t="n">
        <v>42.37529</v>
      </c>
      <c r="K16" s="55" t="n">
        <v>2.66709</v>
      </c>
      <c r="L16" s="56" t="inlineStr">
        <is>
          <t>Fitxa ↗</t>
        </is>
      </c>
      <c r="M16" s="56" t="inlineStr">
        <is>
          <t>Mapa ↗</t>
        </is>
      </c>
      <c r="N16" s="33"/>
      <c r="O16" s="53"/>
    </row>
    <row r="17">
      <c r="A17" s="32" t="inlineStr">
        <is>
          <t>Tossa d’Espinau</t>
        </is>
      </c>
      <c r="B17" s="52" t="n">
        <v>1087</v>
      </c>
      <c r="C17" s="53" t="inlineStr">
        <is>
          <t>Alt Empordà</t>
        </is>
      </c>
      <c r="D17" s="53" t="inlineStr">
        <is>
          <t>Alt Empordà, Garrotxa</t>
        </is>
      </c>
      <c r="E17" s="33" t="inlineStr">
        <is>
          <t>No essencial</t>
        </is>
      </c>
      <c r="F17" s="53" t="n"/>
      <c r="G17" s="33"/>
      <c r="H17" s="54"/>
      <c r="I17" s="53"/>
      <c r="J17" s="55" t="n">
        <v>42.27343</v>
      </c>
      <c r="K17" s="55" t="n">
        <v>2.69285</v>
      </c>
      <c r="L17" s="56" t="inlineStr">
        <is>
          <t>Fitxa ↗</t>
        </is>
      </c>
      <c r="M17" s="56" t="inlineStr">
        <is>
          <t>Mapa ↗</t>
        </is>
      </c>
      <c r="N17" s="33"/>
      <c r="O17" s="53"/>
    </row>
    <row r="18">
      <c r="A18" s="32" t="inlineStr">
        <is>
          <t>Puig de la Gavarra</t>
        </is>
      </c>
      <c r="B18" s="52" t="n">
        <v>1057</v>
      </c>
      <c r="C18" s="53" t="inlineStr">
        <is>
          <t>Alt Empordà</t>
        </is>
      </c>
      <c r="D18" s="53" t="inlineStr">
        <is>
          <t>Alt Empordà</t>
        </is>
      </c>
      <c r="E18" s="33" t="inlineStr">
        <is>
          <t>No essencial</t>
        </is>
      </c>
      <c r="F18" s="53" t="n"/>
      <c r="G18" s="33"/>
      <c r="H18" s="54"/>
      <c r="I18" s="53"/>
      <c r="J18" s="55" t="n">
        <v>42.36073</v>
      </c>
      <c r="K18" s="55" t="n">
        <v>2.69685</v>
      </c>
      <c r="L18" s="56" t="inlineStr">
        <is>
          <t>Fitxa ↗</t>
        </is>
      </c>
      <c r="M18" s="56" t="inlineStr">
        <is>
          <t>Mapa ↗</t>
        </is>
      </c>
      <c r="N18" s="33"/>
      <c r="O18" s="53"/>
    </row>
    <row r="19">
      <c r="A19" s="32" t="inlineStr">
        <is>
          <t>Pic de Sallafort</t>
        </is>
      </c>
      <c r="B19" s="52" t="n">
        <v>994</v>
      </c>
      <c r="C19" s="53" t="inlineStr">
        <is>
          <t>Alt Empordà</t>
        </is>
      </c>
      <c r="D19" s="53" t="inlineStr">
        <is>
          <t>Alt Empordà, Rosselló</t>
        </is>
      </c>
      <c r="E19" s="33" t="inlineStr">
        <is>
          <t>No essencial</t>
        </is>
      </c>
      <c r="F19" s="53" t="n"/>
      <c r="G19" s="33"/>
      <c r="H19" s="54"/>
      <c r="I19" s="53"/>
      <c r="J19" s="55" t="n">
        <v>42.47347</v>
      </c>
      <c r="K19" s="55" t="n">
        <v>3.03804</v>
      </c>
      <c r="L19" s="56" t="inlineStr">
        <is>
          <t>Fitxa ↗</t>
        </is>
      </c>
      <c r="M19" s="56" t="inlineStr">
        <is>
          <t>Mapa ↗</t>
        </is>
      </c>
      <c r="N19" s="33"/>
      <c r="O19" s="53"/>
    </row>
    <row r="20">
      <c r="A20" s="32" t="inlineStr">
        <is>
          <t>Puig dels Pruners</t>
        </is>
      </c>
      <c r="B20" s="52" t="n">
        <v>832</v>
      </c>
      <c r="C20" s="53" t="inlineStr">
        <is>
          <t>Alt Empordà</t>
        </is>
      </c>
      <c r="D20" s="53" t="inlineStr">
        <is>
          <t>Alt Empordà, Vallespir</t>
        </is>
      </c>
      <c r="E20" s="33" t="inlineStr">
        <is>
          <t>No essencial</t>
        </is>
      </c>
      <c r="F20" s="53" t="n"/>
      <c r="G20" s="33"/>
      <c r="H20" s="54"/>
      <c r="I20" s="53"/>
      <c r="J20" s="55" t="n">
        <v>42.428</v>
      </c>
      <c r="K20" s="55" t="n">
        <v>2.80294</v>
      </c>
      <c r="L20" s="56" t="inlineStr">
        <is>
          <t>Fitxa ↗</t>
        </is>
      </c>
      <c r="M20" s="56" t="inlineStr">
        <is>
          <t>Mapa ↗</t>
        </is>
      </c>
      <c r="N20" s="33"/>
      <c r="O20" s="53"/>
    </row>
    <row r="21">
      <c r="A21" s="32" t="inlineStr">
        <is>
          <t>Puig d’en Jordà</t>
        </is>
      </c>
      <c r="B21" s="52" t="n">
        <v>754</v>
      </c>
      <c r="C21" s="53" t="inlineStr">
        <is>
          <t>Alt Empordà</t>
        </is>
      </c>
      <c r="D21" s="53" t="inlineStr">
        <is>
          <t>Alt Empordà, Rosselló</t>
        </is>
      </c>
      <c r="E21" s="33" t="inlineStr">
        <is>
          <t>No essencial</t>
        </is>
      </c>
      <c r="F21" s="53" t="n"/>
      <c r="G21" s="33"/>
      <c r="H21" s="54"/>
      <c r="I21" s="53"/>
      <c r="J21" s="55" t="n">
        <v>42.42776</v>
      </c>
      <c r="K21" s="55" t="n">
        <v>3.08205</v>
      </c>
      <c r="L21" s="56" t="inlineStr">
        <is>
          <t>Fitxa ↗</t>
        </is>
      </c>
      <c r="M21" s="56" t="inlineStr">
        <is>
          <t>Mapa ↗</t>
        </is>
      </c>
      <c r="N21" s="33"/>
      <c r="O21" s="53"/>
    </row>
    <row r="22">
      <c r="A22" s="32" t="inlineStr">
        <is>
          <t>Castell Saverdera</t>
        </is>
      </c>
      <c r="B22" s="52" t="n">
        <v>682</v>
      </c>
      <c r="C22" s="53" t="inlineStr">
        <is>
          <t>Alt Empordà</t>
        </is>
      </c>
      <c r="D22" s="53" t="inlineStr">
        <is>
          <t>Alt Empordà</t>
        </is>
      </c>
      <c r="E22" s="33" t="inlineStr">
        <is>
          <t>Essencial</t>
        </is>
      </c>
      <c r="F22" s="53" t="n"/>
      <c r="G22" s="33"/>
      <c r="H22" s="54"/>
      <c r="I22" s="53"/>
      <c r="J22" s="55" t="n">
        <v>42.31997</v>
      </c>
      <c r="K22" s="55" t="n">
        <v>3.16782</v>
      </c>
      <c r="L22" s="56" t="inlineStr">
        <is>
          <t>Fitxa ↗</t>
        </is>
      </c>
      <c r="M22" s="56" t="inlineStr">
        <is>
          <t>Mapa ↗</t>
        </is>
      </c>
      <c r="N22" s="33"/>
      <c r="O22" s="53"/>
    </row>
    <row r="23">
      <c r="A23" s="32" t="inlineStr">
        <is>
          <t>Querroig</t>
        </is>
      </c>
      <c r="B23" s="52" t="n">
        <v>672</v>
      </c>
      <c r="C23" s="53" t="inlineStr">
        <is>
          <t>Alt Empordà</t>
        </is>
      </c>
      <c r="D23" s="53" t="inlineStr">
        <is>
          <t>Alt Empordà, Rosselló</t>
        </is>
      </c>
      <c r="E23" s="33" t="inlineStr">
        <is>
          <t>No essencial</t>
        </is>
      </c>
      <c r="F23" s="53" t="n"/>
      <c r="G23" s="33"/>
      <c r="H23" s="54"/>
      <c r="I23" s="53"/>
      <c r="J23" s="55" t="n">
        <v>42.43826</v>
      </c>
      <c r="K23" s="55" t="n">
        <v>3.12093</v>
      </c>
      <c r="L23" s="56" t="inlineStr">
        <is>
          <t>Fitxa ↗</t>
        </is>
      </c>
      <c r="M23" s="56" t="inlineStr">
        <is>
          <t>Mapa ↗</t>
        </is>
      </c>
      <c r="N23" s="33"/>
      <c r="O23" s="53"/>
    </row>
    <row r="24">
      <c r="A24" s="32" t="inlineStr">
        <is>
          <t>Puig d’Esquers</t>
        </is>
      </c>
      <c r="B24" s="52" t="n">
        <v>606</v>
      </c>
      <c r="C24" s="53" t="inlineStr">
        <is>
          <t>Alt Empordà</t>
        </is>
      </c>
      <c r="D24" s="53" t="inlineStr">
        <is>
          <t>Alt Empordà</t>
        </is>
      </c>
      <c r="E24" s="33" t="inlineStr">
        <is>
          <t>No essencial</t>
        </is>
      </c>
      <c r="F24" s="53" t="n"/>
      <c r="G24" s="33"/>
      <c r="H24" s="54"/>
      <c r="I24" s="53"/>
      <c r="J24" s="55" t="n">
        <v>42.39268</v>
      </c>
      <c r="K24" s="55" t="n">
        <v>3.09636</v>
      </c>
      <c r="L24" s="56" t="inlineStr">
        <is>
          <t>Fitxa ↗</t>
        </is>
      </c>
      <c r="M24" s="56" t="inlineStr">
        <is>
          <t>Mapa ↗</t>
        </is>
      </c>
      <c r="N24" s="33"/>
      <c r="O24" s="53"/>
    </row>
    <row r="25">
      <c r="A25" s="32" t="inlineStr">
        <is>
          <t>Santa Magdalena</t>
        </is>
      </c>
      <c r="B25" s="52" t="n">
        <v>526</v>
      </c>
      <c r="C25" s="53" t="inlineStr">
        <is>
          <t>Alt Empordà</t>
        </is>
      </c>
      <c r="D25" s="53" t="inlineStr">
        <is>
          <t>Alt Empordà</t>
        </is>
      </c>
      <c r="E25" s="33" t="inlineStr">
        <is>
          <t>No essencial</t>
        </is>
      </c>
      <c r="F25" s="53" t="n"/>
      <c r="G25" s="33"/>
      <c r="H25" s="54"/>
      <c r="I25" s="53"/>
      <c r="J25" s="55" t="n">
        <v>42.32455</v>
      </c>
      <c r="K25" s="55" t="n">
        <v>2.82579</v>
      </c>
      <c r="L25" s="56" t="inlineStr">
        <is>
          <t>Fitxa ↗</t>
        </is>
      </c>
      <c r="M25" s="56" t="inlineStr">
        <is>
          <t>Mapa ↗</t>
        </is>
      </c>
      <c r="N25" s="33"/>
      <c r="O25" s="53"/>
    </row>
    <row r="26">
      <c r="A26" s="32" t="inlineStr">
        <is>
          <t>Puig de l’Àliga (Cap de Creus)</t>
        </is>
      </c>
      <c r="B26" s="52" t="n">
        <v>463</v>
      </c>
      <c r="C26" s="53" t="inlineStr">
        <is>
          <t>Alt Empordà</t>
        </is>
      </c>
      <c r="D26" s="53" t="inlineStr">
        <is>
          <t>Alt Empordà</t>
        </is>
      </c>
      <c r="E26" s="33" t="inlineStr">
        <is>
          <t>No essencial</t>
        </is>
      </c>
      <c r="F26" s="53" t="n"/>
      <c r="G26" s="33"/>
      <c r="H26" s="54"/>
      <c r="I26" s="53"/>
      <c r="J26" s="55" t="n">
        <v>42.28051</v>
      </c>
      <c r="K26" s="55" t="n">
        <v>3.20497</v>
      </c>
      <c r="L26" s="56" t="inlineStr">
        <is>
          <t>Fitxa ↗</t>
        </is>
      </c>
      <c r="M26" s="56" t="inlineStr">
        <is>
          <t>Mapa ↗</t>
        </is>
      </c>
      <c r="N26" s="33"/>
      <c r="O26" s="53"/>
    </row>
    <row r="27">
      <c r="A27" s="32" t="inlineStr">
        <is>
          <t>Puig dels Bufadors</t>
        </is>
      </c>
      <c r="B27" s="52" t="n">
        <v>432</v>
      </c>
      <c r="C27" s="53" t="inlineStr">
        <is>
          <t>Alt Empordà</t>
        </is>
      </c>
      <c r="D27" s="53" t="inlineStr">
        <is>
          <t>Alt Empordà</t>
        </is>
      </c>
      <c r="E27" s="33" t="inlineStr">
        <is>
          <t>No essencial</t>
        </is>
      </c>
      <c r="F27" s="53" t="n"/>
      <c r="G27" s="33"/>
      <c r="H27" s="54"/>
      <c r="I27" s="53"/>
      <c r="J27" s="55" t="n">
        <v>42.30107</v>
      </c>
      <c r="K27" s="55" t="n">
        <v>3.24875</v>
      </c>
      <c r="L27" s="56" t="inlineStr">
        <is>
          <t>Fitxa ↗</t>
        </is>
      </c>
      <c r="M27" s="56" t="inlineStr">
        <is>
          <t>Mapa ↗</t>
        </is>
      </c>
      <c r="N27" s="33"/>
      <c r="O27" s="53"/>
    </row>
    <row r="28">
      <c r="A28" s="32" t="inlineStr">
        <is>
          <t>Puig de Cervera</t>
        </is>
      </c>
      <c r="B28" s="52" t="n">
        <v>207</v>
      </c>
      <c r="C28" s="53" t="inlineStr">
        <is>
          <t>Alt Empordà</t>
        </is>
      </c>
      <c r="D28" s="53" t="inlineStr">
        <is>
          <t>Alt Empordà, Rosselló</t>
        </is>
      </c>
      <c r="E28" s="33" t="inlineStr">
        <is>
          <t>No essencial</t>
        </is>
      </c>
      <c r="F28" s="53" t="n"/>
      <c r="G28" s="33"/>
      <c r="H28" s="54"/>
      <c r="I28" s="53"/>
      <c r="J28" s="55" t="n">
        <v>42.43522</v>
      </c>
      <c r="K28" s="55" t="n">
        <v>3.17075</v>
      </c>
      <c r="L28" s="56" t="inlineStr">
        <is>
          <t>Fitxa ↗</t>
        </is>
      </c>
      <c r="M28" s="56" t="inlineStr">
        <is>
          <t>Mapa ↗</t>
        </is>
      </c>
      <c r="N28" s="33"/>
      <c r="O28" s="53"/>
    </row>
    <row r="29">
      <c r="A29" s="32" t="inlineStr">
        <is>
          <t>Puig Segalar</t>
        </is>
      </c>
      <c r="B29" s="52" t="n">
        <v>175</v>
      </c>
      <c r="C29" s="53" t="inlineStr">
        <is>
          <t>Alt Empordà</t>
        </is>
      </c>
      <c r="D29" s="53" t="inlineStr">
        <is>
          <t>Alt Empordà, Baix Empordà</t>
        </is>
      </c>
      <c r="E29" s="33" t="inlineStr">
        <is>
          <t>No essencial</t>
        </is>
      </c>
      <c r="F29" s="53" t="n"/>
      <c r="G29" s="33"/>
      <c r="H29" s="54"/>
      <c r="I29" s="53"/>
      <c r="J29" s="55" t="n">
        <v>42.11244</v>
      </c>
      <c r="K29" s="55" t="n">
        <v>3.04993</v>
      </c>
      <c r="L29" s="56" t="inlineStr">
        <is>
          <t>Fitxa ↗</t>
        </is>
      </c>
      <c r="M29" s="56" t="inlineStr">
        <is>
          <t>Mapa ↗</t>
        </is>
      </c>
      <c r="N29" s="33"/>
      <c r="O29" s="53"/>
    </row>
    <row r="30">
      <c r="A30" s="32" t="inlineStr">
        <is>
          <t>Clapí Vell</t>
        </is>
      </c>
      <c r="B30" s="52" t="n">
        <v>703</v>
      </c>
      <c r="C30" s="53" t="inlineStr">
        <is>
          <t>Alt Penedès</t>
        </is>
      </c>
      <c r="D30" s="53" t="inlineStr">
        <is>
          <t>Alt Penedès</t>
        </is>
      </c>
      <c r="E30" s="33" t="inlineStr">
        <is>
          <t>No essencial</t>
        </is>
      </c>
      <c r="F30" s="53" t="n"/>
      <c r="G30" s="33"/>
      <c r="H30" s="54"/>
      <c r="I30" s="53"/>
      <c r="J30" s="55" t="n">
        <v>41.38805</v>
      </c>
      <c r="K30" s="55" t="n">
        <v>1.54263</v>
      </c>
      <c r="L30" s="56" t="inlineStr">
        <is>
          <t>Fitxa ↗</t>
        </is>
      </c>
      <c r="M30" s="56" t="inlineStr">
        <is>
          <t>Mapa ↗</t>
        </is>
      </c>
      <c r="N30" s="33"/>
      <c r="O30" s="53"/>
    </row>
    <row r="31">
      <c r="A31" s="32" t="inlineStr">
        <is>
          <t>Montau</t>
        </is>
      </c>
      <c r="B31" s="52" t="n">
        <v>658</v>
      </c>
      <c r="C31" s="53" t="inlineStr">
        <is>
          <t>Alt Penedès</t>
        </is>
      </c>
      <c r="D31" s="53" t="inlineStr">
        <is>
          <t>Alt Penedès, Baix Llobregat</t>
        </is>
      </c>
      <c r="E31" s="33" t="inlineStr">
        <is>
          <t>No essencial</t>
        </is>
      </c>
      <c r="F31" s="53" t="n"/>
      <c r="G31" s="33"/>
      <c r="H31" s="54"/>
      <c r="I31" s="53"/>
      <c r="J31" s="55" t="n">
        <v>41.34586</v>
      </c>
      <c r="K31" s="55" t="n">
        <v>1.885</v>
      </c>
      <c r="L31" s="56" t="inlineStr">
        <is>
          <t>Fitxa ↗</t>
        </is>
      </c>
      <c r="M31" s="56" t="inlineStr">
        <is>
          <t>Mapa ↗</t>
        </is>
      </c>
      <c r="N31" s="33"/>
      <c r="O31" s="53"/>
    </row>
    <row r="32">
      <c r="A32" s="32" t="inlineStr">
        <is>
          <t>Puig d’Agulles</t>
        </is>
      </c>
      <c r="B32" s="52" t="n">
        <v>653</v>
      </c>
      <c r="C32" s="53" t="inlineStr">
        <is>
          <t>Alt Penedès</t>
        </is>
      </c>
      <c r="D32" s="53" t="inlineStr">
        <is>
          <t>Alt Penedès, Baix Llobregat</t>
        </is>
      </c>
      <c r="E32" s="33" t="inlineStr">
        <is>
          <t>No essencial</t>
        </is>
      </c>
      <c r="F32" s="53" t="n"/>
      <c r="G32" s="33"/>
      <c r="H32" s="54"/>
      <c r="I32" s="53"/>
      <c r="J32" s="55" t="n">
        <v>41.40808</v>
      </c>
      <c r="K32" s="55" t="n">
        <v>1.88498</v>
      </c>
      <c r="L32" s="56" t="inlineStr">
        <is>
          <t>Fitxa ↗</t>
        </is>
      </c>
      <c r="M32" s="56" t="inlineStr">
        <is>
          <t>Mapa ↗</t>
        </is>
      </c>
      <c r="N32" s="33"/>
      <c r="O32" s="53"/>
    </row>
    <row r="33">
      <c r="A33" s="32" t="inlineStr">
        <is>
          <t>Puig de la Mola</t>
        </is>
      </c>
      <c r="B33" s="52" t="n">
        <v>534</v>
      </c>
      <c r="C33" s="53" t="inlineStr">
        <is>
          <t>Alt Penedès</t>
        </is>
      </c>
      <c r="D33" s="53" t="inlineStr">
        <is>
          <t>Alt Penedès, Baix Llobregat, Garraf</t>
        </is>
      </c>
      <c r="E33" s="33" t="inlineStr">
        <is>
          <t>No essencial</t>
        </is>
      </c>
      <c r="F33" s="53" t="inlineStr">
        <is>
          <t>Garraf</t>
        </is>
      </c>
      <c r="G33" s="33"/>
      <c r="H33" s="54"/>
      <c r="I33" s="53"/>
      <c r="J33" s="55" t="n">
        <v>41.31932</v>
      </c>
      <c r="K33" s="55" t="n">
        <v>1.84785</v>
      </c>
      <c r="L33" s="56" t="inlineStr">
        <is>
          <t>Fitxa ↗</t>
        </is>
      </c>
      <c r="M33" s="56" t="inlineStr">
        <is>
          <t>Mapa ↗</t>
        </is>
      </c>
      <c r="N33" s="33"/>
      <c r="O33" s="53"/>
    </row>
    <row r="34">
      <c r="A34" s="32" t="inlineStr">
        <is>
          <t>El Castellot</t>
        </is>
      </c>
      <c r="B34" s="52" t="n">
        <v>465</v>
      </c>
      <c r="C34" s="53" t="inlineStr">
        <is>
          <t>Alt Penedès</t>
        </is>
      </c>
      <c r="D34" s="53" t="inlineStr">
        <is>
          <t>Alt Penedès</t>
        </is>
      </c>
      <c r="E34" s="33" t="inlineStr">
        <is>
          <t>Essencial</t>
        </is>
      </c>
      <c r="F34" s="53" t="n"/>
      <c r="G34" s="33"/>
      <c r="H34" s="54"/>
      <c r="I34" s="53"/>
      <c r="J34" s="55" t="n">
        <v>41.33759</v>
      </c>
      <c r="K34" s="55" t="n">
        <v>1.57863</v>
      </c>
      <c r="L34" s="56" t="inlineStr">
        <is>
          <t>Fitxa ↗</t>
        </is>
      </c>
      <c r="M34" s="56" t="inlineStr">
        <is>
          <t>Mapa ↗</t>
        </is>
      </c>
      <c r="N34" s="33"/>
      <c r="O34" s="53"/>
    </row>
    <row r="35">
      <c r="A35" s="32" t="inlineStr">
        <is>
          <t>Puig de l’Àliga</t>
        </is>
      </c>
      <c r="B35" s="52" t="n">
        <v>464</v>
      </c>
      <c r="C35" s="53" t="inlineStr">
        <is>
          <t>Alt Penedès</t>
        </is>
      </c>
      <c r="D35" s="53" t="inlineStr">
        <is>
          <t>Alt Penedès, Garraf</t>
        </is>
      </c>
      <c r="E35" s="33" t="inlineStr">
        <is>
          <t>Essencial</t>
        </is>
      </c>
      <c r="F35" s="53" t="n"/>
      <c r="G35" s="33"/>
      <c r="H35" s="54"/>
      <c r="I35" s="53"/>
      <c r="J35" s="55" t="n">
        <v>41.28387</v>
      </c>
      <c r="K35" s="55" t="n">
        <v>1.69738</v>
      </c>
      <c r="L35" s="56" t="inlineStr">
        <is>
          <t>Fitxa ↗</t>
        </is>
      </c>
      <c r="M35" s="56" t="inlineStr">
        <is>
          <t>Mapa ↗</t>
        </is>
      </c>
      <c r="N35" s="33"/>
      <c r="O35" s="53"/>
    </row>
    <row r="36">
      <c r="A36" s="32" t="inlineStr">
        <is>
          <t>Penya del Papiol</t>
        </is>
      </c>
      <c r="B36" s="52" t="n">
        <v>381</v>
      </c>
      <c r="C36" s="53" t="inlineStr">
        <is>
          <t>Alt Penedès</t>
        </is>
      </c>
      <c r="D36" s="53" t="inlineStr">
        <is>
          <t>Alt Penedès</t>
        </is>
      </c>
      <c r="E36" s="33" t="inlineStr">
        <is>
          <t>Essencial</t>
        </is>
      </c>
      <c r="F36" s="53" t="n"/>
      <c r="G36" s="33"/>
      <c r="H36" s="54"/>
      <c r="I36" s="53"/>
      <c r="J36" s="55" t="n">
        <v>41.32295</v>
      </c>
      <c r="K36" s="55" t="n">
        <v>1.74385</v>
      </c>
      <c r="L36" s="56" t="inlineStr">
        <is>
          <t>Fitxa ↗</t>
        </is>
      </c>
      <c r="M36" s="56" t="inlineStr">
        <is>
          <t>Mapa ↗</t>
        </is>
      </c>
      <c r="N36" s="33"/>
      <c r="O36" s="53"/>
    </row>
    <row r="37">
      <c r="A37" s="32" t="inlineStr">
        <is>
          <t>Pic de Salòria</t>
        </is>
      </c>
      <c r="B37" s="52" t="n">
        <v>2789</v>
      </c>
      <c r="C37" s="53" t="inlineStr">
        <is>
          <t>Alt Urgell</t>
        </is>
      </c>
      <c r="D37" s="53" t="inlineStr">
        <is>
          <t>Alt Urgell, Pallars Sobirà</t>
        </is>
      </c>
      <c r="E37" s="33" t="inlineStr">
        <is>
          <t>Essencial</t>
        </is>
      </c>
      <c r="F37" s="53" t="inlineStr">
        <is>
          <t>Alt Urgell</t>
        </is>
      </c>
      <c r="G37" s="33"/>
      <c r="H37" s="54"/>
      <c r="I37" s="53"/>
      <c r="J37" s="55" t="n">
        <v>42.51445</v>
      </c>
      <c r="K37" s="55" t="n">
        <v>1.38514</v>
      </c>
      <c r="L37" s="56" t="inlineStr">
        <is>
          <t>Fitxa ↗</t>
        </is>
      </c>
      <c r="M37" s="56" t="inlineStr">
        <is>
          <t>Mapa ↗</t>
        </is>
      </c>
      <c r="N37" s="33"/>
      <c r="O37" s="53"/>
    </row>
    <row r="38">
      <c r="A38" s="32" t="inlineStr">
        <is>
          <t>Monturull</t>
        </is>
      </c>
      <c r="B38" s="52" t="n">
        <v>2760</v>
      </c>
      <c r="C38" s="53" t="inlineStr">
        <is>
          <t>Alt Urgell</t>
        </is>
      </c>
      <c r="D38" s="53" t="inlineStr">
        <is>
          <t>Alt Urgell, Andorra, Cerdanya</t>
        </is>
      </c>
      <c r="E38" s="33" t="inlineStr">
        <is>
          <t>Essencial</t>
        </is>
      </c>
      <c r="F38" s="53" t="n"/>
      <c r="G38" s="33"/>
      <c r="H38" s="54"/>
      <c r="I38" s="53"/>
      <c r="J38" s="55" t="n">
        <v>42.44995</v>
      </c>
      <c r="K38" s="55" t="n">
        <v>1.581</v>
      </c>
      <c r="L38" s="56" t="inlineStr">
        <is>
          <t>Fitxa ↗</t>
        </is>
      </c>
      <c r="M38" s="56" t="inlineStr">
        <is>
          <t>Mapa ↗</t>
        </is>
      </c>
      <c r="N38" s="33"/>
      <c r="O38" s="53"/>
    </row>
    <row r="39">
      <c r="A39" s="32" t="inlineStr">
        <is>
          <t>Vulturó</t>
        </is>
      </c>
      <c r="B39" s="52" t="n">
        <v>2649</v>
      </c>
      <c r="C39" s="53" t="inlineStr">
        <is>
          <t>Alt Urgell</t>
        </is>
      </c>
      <c r="D39" s="53" t="inlineStr">
        <is>
          <t>Alt Urgell</t>
        </is>
      </c>
      <c r="E39" s="33" t="inlineStr">
        <is>
          <t>Essencial</t>
        </is>
      </c>
      <c r="F39" s="53" t="n"/>
      <c r="G39" s="33"/>
      <c r="H39" s="54"/>
      <c r="I39" s="53"/>
      <c r="J39" s="55" t="n">
        <v>42.28578</v>
      </c>
      <c r="K39" s="55" t="n">
        <v>1.63643</v>
      </c>
      <c r="L39" s="56" t="inlineStr">
        <is>
          <t>Fitxa ↗</t>
        </is>
      </c>
      <c r="M39" s="56" t="inlineStr">
        <is>
          <t>Mapa ↗</t>
        </is>
      </c>
      <c r="N39" s="33"/>
      <c r="O39" s="53"/>
    </row>
    <row r="40">
      <c r="A40" s="32" t="inlineStr">
        <is>
          <t>Pic de Costa Cabirolera</t>
        </is>
      </c>
      <c r="B40" s="52" t="n">
        <v>2604</v>
      </c>
      <c r="C40" s="53" t="inlineStr">
        <is>
          <t>Alt Urgell</t>
        </is>
      </c>
      <c r="D40" s="53" t="inlineStr">
        <is>
          <t>Alt Urgell, Berguedà, Cerdanya</t>
        </is>
      </c>
      <c r="E40" s="33" t="inlineStr">
        <is>
          <t>No essencial</t>
        </is>
      </c>
      <c r="F40" s="53" t="inlineStr">
        <is>
          <t>Berguedà</t>
        </is>
      </c>
      <c r="G40" s="33"/>
      <c r="H40" s="54"/>
      <c r="I40" s="53"/>
      <c r="J40" s="55" t="n">
        <v>42.28146</v>
      </c>
      <c r="K40" s="55" t="n">
        <v>1.67042</v>
      </c>
      <c r="L40" s="56" t="inlineStr">
        <is>
          <t>Fitxa ↗</t>
        </is>
      </c>
      <c r="M40" s="56" t="inlineStr">
        <is>
          <t>Mapa ↗</t>
        </is>
      </c>
      <c r="N40" s="33"/>
      <c r="O40" s="53"/>
    </row>
    <row r="41">
      <c r="A41" s="32" t="inlineStr">
        <is>
          <t>Torreta del Cadí</t>
        </is>
      </c>
      <c r="B41" s="52" t="n">
        <v>2562</v>
      </c>
      <c r="C41" s="53" t="inlineStr">
        <is>
          <t>Alt Urgell</t>
        </is>
      </c>
      <c r="D41" s="53" t="inlineStr">
        <is>
          <t>Alt Urgell</t>
        </is>
      </c>
      <c r="E41" s="33" t="inlineStr">
        <is>
          <t>No essencial</t>
        </is>
      </c>
      <c r="F41" s="53" t="n"/>
      <c r="G41" s="33"/>
      <c r="H41" s="54"/>
      <c r="I41" s="53"/>
      <c r="J41" s="55" t="n">
        <v>42.28707</v>
      </c>
      <c r="K41" s="55" t="n">
        <v>1.5842</v>
      </c>
      <c r="L41" s="56" t="inlineStr">
        <is>
          <t>Fitxa ↗</t>
        </is>
      </c>
      <c r="M41" s="56" t="inlineStr">
        <is>
          <t>Mapa ↗</t>
        </is>
      </c>
      <c r="N41" s="33"/>
      <c r="O41" s="53"/>
    </row>
    <row r="42">
      <c r="A42" s="32" t="inlineStr">
        <is>
          <t>Turó Punçó</t>
        </is>
      </c>
      <c r="B42" s="52" t="n">
        <v>2493</v>
      </c>
      <c r="C42" s="53" t="inlineStr">
        <is>
          <t>Alt Urgell</t>
        </is>
      </c>
      <c r="D42" s="53" t="inlineStr">
        <is>
          <t>Alt Urgell, Cerdanya</t>
        </is>
      </c>
      <c r="E42" s="33" t="inlineStr">
        <is>
          <t>No essencial</t>
        </is>
      </c>
      <c r="F42" s="53" t="n"/>
      <c r="G42" s="33"/>
      <c r="H42" s="54"/>
      <c r="I42" s="53"/>
      <c r="J42" s="55" t="n">
        <v>42.42455</v>
      </c>
      <c r="K42" s="55" t="n">
        <v>1.60099</v>
      </c>
      <c r="L42" s="56" t="inlineStr">
        <is>
          <t>Fitxa ↗</t>
        </is>
      </c>
      <c r="M42" s="56" t="inlineStr">
        <is>
          <t>Mapa ↗</t>
        </is>
      </c>
      <c r="N42" s="33"/>
      <c r="O42" s="53"/>
    </row>
    <row r="43">
      <c r="A43" s="32" t="inlineStr">
        <is>
          <t>Bony de la Pica o Pica d’Os</t>
        </is>
      </c>
      <c r="B43" s="52" t="n">
        <v>2405</v>
      </c>
      <c r="C43" s="53" t="inlineStr">
        <is>
          <t>Alt Urgell</t>
        </is>
      </c>
      <c r="D43" s="53" t="inlineStr">
        <is>
          <t>Alt Urgell, Andorra</t>
        </is>
      </c>
      <c r="E43" s="33" t="inlineStr">
        <is>
          <t>Essencial</t>
        </is>
      </c>
      <c r="F43" s="53" t="n"/>
      <c r="G43" s="33"/>
      <c r="H43" s="54"/>
      <c r="I43" s="53"/>
      <c r="J43" s="55" t="n">
        <v>42.5048</v>
      </c>
      <c r="K43" s="55" t="n">
        <v>1.4604</v>
      </c>
      <c r="L43" s="56" t="inlineStr">
        <is>
          <t>Fitxa ↗</t>
        </is>
      </c>
      <c r="M43" s="56" t="inlineStr">
        <is>
          <t>Mapa ↗</t>
        </is>
      </c>
      <c r="N43" s="33"/>
      <c r="O43" s="53"/>
    </row>
    <row r="44">
      <c r="A44" s="32" t="inlineStr">
        <is>
          <t>Pedró dels Quatre Batlles</t>
        </is>
      </c>
      <c r="B44" s="52" t="n">
        <v>2387</v>
      </c>
      <c r="C44" s="53" t="inlineStr">
        <is>
          <t>Alt Urgell</t>
        </is>
      </c>
      <c r="D44" s="53" t="inlineStr">
        <is>
          <t>Alt Urgell, Solsonès</t>
        </is>
      </c>
      <c r="E44" s="33" t="inlineStr">
        <is>
          <t>No essencial</t>
        </is>
      </c>
      <c r="F44" s="53" t="inlineStr">
        <is>
          <t>Solsonès</t>
        </is>
      </c>
      <c r="G44" s="33"/>
      <c r="H44" s="54"/>
      <c r="I44" s="53"/>
      <c r="J44" s="55" t="n">
        <v>42.1848</v>
      </c>
      <c r="K44" s="55" t="n">
        <v>1.52091</v>
      </c>
      <c r="L44" s="56" t="inlineStr">
        <is>
          <t>Fitxa ↗</t>
        </is>
      </c>
      <c r="M44" s="56" t="inlineStr">
        <is>
          <t>Mapa ↗</t>
        </is>
      </c>
      <c r="N44" s="33"/>
      <c r="O44" s="53"/>
    </row>
    <row r="45">
      <c r="A45" s="32" t="inlineStr">
        <is>
          <t>Cap del Verd</t>
        </is>
      </c>
      <c r="B45" s="52" t="n">
        <v>2284</v>
      </c>
      <c r="C45" s="53" t="inlineStr">
        <is>
          <t>Alt Urgell</t>
        </is>
      </c>
      <c r="D45" s="53" t="inlineStr">
        <is>
          <t>Alt Urgell, Berguedà, Solsonès</t>
        </is>
      </c>
      <c r="E45" s="33" t="inlineStr">
        <is>
          <t>Essencial</t>
        </is>
      </c>
      <c r="F45" s="53" t="n"/>
      <c r="G45" s="33"/>
      <c r="H45" s="54"/>
      <c r="I45" s="53"/>
      <c r="J45" s="55" t="n">
        <v>42.20081</v>
      </c>
      <c r="K45" s="55" t="n">
        <v>1.61371</v>
      </c>
      <c r="L45" s="56" t="inlineStr">
        <is>
          <t>Fitxa ↗</t>
        </is>
      </c>
      <c r="M45" s="56" t="inlineStr">
        <is>
          <t>Mapa ↗</t>
        </is>
      </c>
      <c r="N45" s="33"/>
      <c r="O45" s="53"/>
    </row>
    <row r="46">
      <c r="A46" s="32" t="inlineStr">
        <is>
          <t>Mirador del Pla de Llet</t>
        </is>
      </c>
      <c r="B46" s="52" t="n">
        <v>2141</v>
      </c>
      <c r="C46" s="53" t="inlineStr">
        <is>
          <t>Alt Urgell</t>
        </is>
      </c>
      <c r="D46" s="53" t="inlineStr">
        <is>
          <t>Alt Urgell, Cerdanya</t>
        </is>
      </c>
      <c r="E46" s="33" t="inlineStr">
        <is>
          <t>No essencial</t>
        </is>
      </c>
      <c r="F46" s="53" t="n"/>
      <c r="G46" s="33"/>
      <c r="H46" s="54"/>
      <c r="I46" s="53"/>
      <c r="J46" s="55" t="n">
        <v>42.40455</v>
      </c>
      <c r="K46" s="55" t="n">
        <v>1.63295</v>
      </c>
      <c r="L46" s="56" t="inlineStr">
        <is>
          <t>Fitxa ↗</t>
        </is>
      </c>
      <c r="M46" s="56" t="inlineStr">
        <is>
          <t>Mapa ↗</t>
        </is>
      </c>
      <c r="N46" s="33"/>
      <c r="O46" s="53"/>
    </row>
    <row r="47">
      <c r="A47" s="32" t="inlineStr">
        <is>
          <t>El Cadinell</t>
        </is>
      </c>
      <c r="B47" s="52" t="n">
        <v>2113</v>
      </c>
      <c r="C47" s="53" t="inlineStr">
        <is>
          <t>Alt Urgell</t>
        </is>
      </c>
      <c r="D47" s="53" t="inlineStr">
        <is>
          <t>Alt Urgell</t>
        </is>
      </c>
      <c r="E47" s="33" t="inlineStr">
        <is>
          <t>No essencial</t>
        </is>
      </c>
      <c r="F47" s="53" t="n"/>
      <c r="G47" s="33"/>
      <c r="H47" s="54"/>
      <c r="I47" s="53"/>
      <c r="J47" s="55" t="n">
        <v>42.26439</v>
      </c>
      <c r="K47" s="55" t="n">
        <v>1.59782</v>
      </c>
      <c r="L47" s="56" t="inlineStr">
        <is>
          <t>Fitxa ↗</t>
        </is>
      </c>
      <c r="M47" s="56" t="inlineStr">
        <is>
          <t>Mapa ↗</t>
        </is>
      </c>
      <c r="N47" s="33"/>
      <c r="O47" s="53"/>
    </row>
    <row r="48">
      <c r="A48" s="32" t="inlineStr">
        <is>
          <t>Roc Roi</t>
        </is>
      </c>
      <c r="B48" s="52" t="n">
        <v>2020</v>
      </c>
      <c r="C48" s="53" t="inlineStr">
        <is>
          <t>Alt Urgell</t>
        </is>
      </c>
      <c r="D48" s="53" t="inlineStr">
        <is>
          <t>Alt Urgell</t>
        </is>
      </c>
      <c r="E48" s="33" t="inlineStr">
        <is>
          <t>No essencial</t>
        </is>
      </c>
      <c r="F48" s="53" t="n"/>
      <c r="G48" s="33"/>
      <c r="H48" s="54"/>
      <c r="I48" s="53"/>
      <c r="J48" s="55" t="n">
        <v>42.43535</v>
      </c>
      <c r="K48" s="55" t="n">
        <v>1.33829</v>
      </c>
      <c r="L48" s="56" t="inlineStr">
        <is>
          <t>Fitxa ↗</t>
        </is>
      </c>
      <c r="M48" s="56" t="inlineStr">
        <is>
          <t>Mapa ↗</t>
        </is>
      </c>
      <c r="N48" s="33"/>
      <c r="O48" s="53"/>
    </row>
    <row r="49">
      <c r="A49" s="32" t="inlineStr">
        <is>
          <t>Les Piques</t>
        </is>
      </c>
      <c r="B49" s="52" t="n">
        <v>1969</v>
      </c>
      <c r="C49" s="53" t="inlineStr">
        <is>
          <t>Alt Urgell</t>
        </is>
      </c>
      <c r="D49" s="53" t="inlineStr">
        <is>
          <t>Alt Urgell</t>
        </is>
      </c>
      <c r="E49" s="33" t="inlineStr">
        <is>
          <t>No essencial</t>
        </is>
      </c>
      <c r="F49" s="53" t="n"/>
      <c r="G49" s="33"/>
      <c r="H49" s="54"/>
      <c r="I49" s="53"/>
      <c r="J49" s="55" t="n">
        <v>42.32097</v>
      </c>
      <c r="K49" s="55" t="n">
        <v>1.17585</v>
      </c>
      <c r="L49" s="56" t="inlineStr">
        <is>
          <t>Fitxa ↗</t>
        </is>
      </c>
      <c r="M49" s="56" t="inlineStr">
        <is>
          <t>Mapa ↗</t>
        </is>
      </c>
      <c r="N49" s="33"/>
      <c r="O49" s="53"/>
    </row>
    <row r="50">
      <c r="A50" s="32" t="inlineStr">
        <is>
          <t>Roca de Migdia (Serra del Verd)</t>
        </is>
      </c>
      <c r="B50" s="52" t="n">
        <v>1870</v>
      </c>
      <c r="C50" s="53" t="inlineStr">
        <is>
          <t>Alt Urgell</t>
        </is>
      </c>
      <c r="D50" s="53" t="inlineStr">
        <is>
          <t>Alt Urgell, Solsonès</t>
        </is>
      </c>
      <c r="E50" s="33" t="inlineStr">
        <is>
          <t>No essencial</t>
        </is>
      </c>
      <c r="F50" s="53" t="n"/>
      <c r="G50" s="33"/>
      <c r="H50" s="54"/>
      <c r="I50" s="53"/>
      <c r="J50" s="55" t="n">
        <v>42.20793</v>
      </c>
      <c r="K50" s="55" t="n">
        <v>1.56814</v>
      </c>
      <c r="L50" s="56" t="inlineStr">
        <is>
          <t>Fitxa ↗</t>
        </is>
      </c>
      <c r="M50" s="56" t="inlineStr">
        <is>
          <t>Mapa ↗</t>
        </is>
      </c>
      <c r="N50" s="33"/>
      <c r="O50" s="53"/>
    </row>
    <row r="51">
      <c r="A51" s="32" t="inlineStr">
        <is>
          <t>Cap de Pla Redon</t>
        </is>
      </c>
      <c r="B51" s="52" t="n">
        <v>1846</v>
      </c>
      <c r="C51" s="53" t="inlineStr">
        <is>
          <t>Alt Urgell</t>
        </is>
      </c>
      <c r="D51" s="53" t="inlineStr">
        <is>
          <t>Alt Urgell</t>
        </is>
      </c>
      <c r="E51" s="33" t="inlineStr">
        <is>
          <t>No essencial</t>
        </is>
      </c>
      <c r="F51" s="53" t="n"/>
      <c r="G51" s="33"/>
      <c r="H51" s="54"/>
      <c r="I51" s="53"/>
      <c r="J51" s="55" t="n">
        <v>42.27553</v>
      </c>
      <c r="K51" s="55" t="n">
        <v>1.26702</v>
      </c>
      <c r="L51" s="56" t="inlineStr">
        <is>
          <t>Fitxa ↗</t>
        </is>
      </c>
      <c r="M51" s="56" t="inlineStr">
        <is>
          <t>Mapa ↗</t>
        </is>
      </c>
      <c r="N51" s="33"/>
      <c r="O51" s="53"/>
    </row>
    <row r="52">
      <c r="A52" s="32" t="inlineStr">
        <is>
          <t>Tossal de Badés</t>
        </is>
      </c>
      <c r="B52" s="52" t="n">
        <v>1818</v>
      </c>
      <c r="C52" s="53" t="inlineStr">
        <is>
          <t>Alt Urgell</t>
        </is>
      </c>
      <c r="D52" s="53" t="inlineStr">
        <is>
          <t>Alt Urgell</t>
        </is>
      </c>
      <c r="E52" s="33" t="inlineStr">
        <is>
          <t>No essencial</t>
        </is>
      </c>
      <c r="F52" s="53" t="n"/>
      <c r="G52" s="33"/>
      <c r="H52" s="54"/>
      <c r="I52" s="53"/>
      <c r="J52" s="55" t="n">
        <v>42.32375</v>
      </c>
      <c r="K52" s="55" t="n">
        <v>1.62499</v>
      </c>
      <c r="L52" s="56" t="inlineStr">
        <is>
          <t>Fitxa ↗</t>
        </is>
      </c>
      <c r="M52" s="56" t="inlineStr">
        <is>
          <t>Mapa ↗</t>
        </is>
      </c>
      <c r="N52" s="33"/>
      <c r="O52" s="53"/>
    </row>
    <row r="53">
      <c r="A53" s="32" t="inlineStr">
        <is>
          <t>l’Oratori</t>
        </is>
      </c>
      <c r="B53" s="52" t="n">
        <v>1757</v>
      </c>
      <c r="C53" s="53" t="inlineStr">
        <is>
          <t>Alt Urgell</t>
        </is>
      </c>
      <c r="D53" s="53" t="inlineStr">
        <is>
          <t>Alt Urgell</t>
        </is>
      </c>
      <c r="E53" s="33" t="inlineStr">
        <is>
          <t>No essencial</t>
        </is>
      </c>
      <c r="F53" s="53" t="n"/>
      <c r="G53" s="33"/>
      <c r="H53" s="54"/>
      <c r="I53" s="53"/>
      <c r="J53" s="55" t="n">
        <v>42.20137</v>
      </c>
      <c r="K53" s="55" t="n">
        <v>1.21832</v>
      </c>
      <c r="L53" s="56" t="inlineStr">
        <is>
          <t>Fitxa ↗</t>
        </is>
      </c>
      <c r="M53" s="56" t="inlineStr">
        <is>
          <t>Mapa ↗</t>
        </is>
      </c>
      <c r="N53" s="33"/>
      <c r="O53" s="53"/>
    </row>
    <row r="54">
      <c r="A54" s="32" t="inlineStr">
        <is>
          <t>Roc Beneïdor</t>
        </is>
      </c>
      <c r="B54" s="52" t="n">
        <v>1681</v>
      </c>
      <c r="C54" s="53" t="inlineStr">
        <is>
          <t>Alt Urgell</t>
        </is>
      </c>
      <c r="D54" s="53" t="inlineStr">
        <is>
          <t>Alt Urgell</t>
        </is>
      </c>
      <c r="E54" s="33" t="inlineStr">
        <is>
          <t>No essencial</t>
        </is>
      </c>
      <c r="F54" s="53" t="n"/>
      <c r="G54" s="33"/>
      <c r="H54" s="54"/>
      <c r="I54" s="53"/>
      <c r="J54" s="55" t="n">
        <v>42.37122</v>
      </c>
      <c r="K54" s="55" t="n">
        <v>1.5605</v>
      </c>
      <c r="L54" s="56" t="inlineStr">
        <is>
          <t>Fitxa ↗</t>
        </is>
      </c>
      <c r="M54" s="56" t="inlineStr">
        <is>
          <t>Mapa ↗</t>
        </is>
      </c>
      <c r="N54" s="33"/>
      <c r="O54" s="53"/>
    </row>
    <row r="55">
      <c r="A55" s="32" t="inlineStr">
        <is>
          <t>Tossal de Lletó</t>
        </is>
      </c>
      <c r="B55" s="52" t="n">
        <v>1631</v>
      </c>
      <c r="C55" s="53" t="inlineStr">
        <is>
          <t>Alt Urgell</t>
        </is>
      </c>
      <c r="D55" s="53" t="inlineStr">
        <is>
          <t>Alt Urgell</t>
        </is>
      </c>
      <c r="E55" s="33" t="inlineStr">
        <is>
          <t>No essencial</t>
        </is>
      </c>
      <c r="F55" s="53" t="n"/>
      <c r="G55" s="33"/>
      <c r="H55" s="54"/>
      <c r="I55" s="53"/>
      <c r="J55" s="55" t="n">
        <v>42.31177</v>
      </c>
      <c r="K55" s="55" t="n">
        <v>1.543</v>
      </c>
      <c r="L55" s="56" t="inlineStr">
        <is>
          <t>Fitxa ↗</t>
        </is>
      </c>
      <c r="M55" s="56" t="inlineStr">
        <is>
          <t>Mapa ↗</t>
        </is>
      </c>
      <c r="N55" s="33"/>
      <c r="O55" s="53"/>
    </row>
    <row r="56">
      <c r="A56" s="32" t="inlineStr">
        <is>
          <t>Roc de Galliner</t>
        </is>
      </c>
      <c r="B56" s="52" t="n">
        <v>1630</v>
      </c>
      <c r="C56" s="53" t="inlineStr">
        <is>
          <t>Alt Urgell</t>
        </is>
      </c>
      <c r="D56" s="53" t="inlineStr">
        <is>
          <t>Alt Urgell</t>
        </is>
      </c>
      <c r="E56" s="33" t="inlineStr">
        <is>
          <t>No essencial</t>
        </is>
      </c>
      <c r="F56" s="53" t="n"/>
      <c r="G56" s="33"/>
      <c r="H56" s="54"/>
      <c r="I56" s="53"/>
      <c r="J56" s="55" t="n">
        <v>42.19807</v>
      </c>
      <c r="K56" s="55" t="n">
        <v>1.41096</v>
      </c>
      <c r="L56" s="56" t="inlineStr">
        <is>
          <t>Fitxa ↗</t>
        </is>
      </c>
      <c r="M56" s="56" t="inlineStr">
        <is>
          <t>Mapa ↗</t>
        </is>
      </c>
      <c r="N56" s="33"/>
      <c r="O56" s="53"/>
    </row>
    <row r="57">
      <c r="A57" s="32" t="inlineStr">
        <is>
          <t>Cogulló de Turp</t>
        </is>
      </c>
      <c r="B57" s="52" t="n">
        <v>1621</v>
      </c>
      <c r="C57" s="53" t="inlineStr">
        <is>
          <t>Alt Urgell</t>
        </is>
      </c>
      <c r="D57" s="53" t="inlineStr">
        <is>
          <t>Alt Urgell</t>
        </is>
      </c>
      <c r="E57" s="33" t="inlineStr">
        <is>
          <t>Essencial</t>
        </is>
      </c>
      <c r="F57" s="53" t="n"/>
      <c r="G57" s="33"/>
      <c r="H57" s="54"/>
      <c r="I57" s="53"/>
      <c r="J57" s="55" t="n">
        <v>42.15115</v>
      </c>
      <c r="K57" s="55" t="n">
        <v>1.34728</v>
      </c>
      <c r="L57" s="56" t="inlineStr">
        <is>
          <t>Fitxa ↗</t>
        </is>
      </c>
      <c r="M57" s="56" t="inlineStr">
        <is>
          <t>Mapa ↗</t>
        </is>
      </c>
      <c r="N57" s="33"/>
      <c r="O57" s="53"/>
    </row>
    <row r="58">
      <c r="A58" s="32" t="inlineStr">
        <is>
          <t>El Coscollet</t>
        </is>
      </c>
      <c r="B58" s="52" t="n">
        <v>1610</v>
      </c>
      <c r="C58" s="53" t="inlineStr">
        <is>
          <t>Alt Urgell</t>
        </is>
      </c>
      <c r="D58" s="53" t="inlineStr">
        <is>
          <t>Alt Urgell</t>
        </is>
      </c>
      <c r="E58" s="33" t="inlineStr">
        <is>
          <t>Essencial</t>
        </is>
      </c>
      <c r="F58" s="53" t="n"/>
      <c r="G58" s="33"/>
      <c r="H58" s="54"/>
      <c r="I58" s="53"/>
      <c r="J58" s="55" t="n">
        <v>42.11414</v>
      </c>
      <c r="K58" s="55" t="n">
        <v>1.26751</v>
      </c>
      <c r="L58" s="56" t="inlineStr">
        <is>
          <t>Fitxa ↗</t>
        </is>
      </c>
      <c r="M58" s="56" t="inlineStr">
        <is>
          <t>Mapa ↗</t>
        </is>
      </c>
      <c r="N58" s="33"/>
      <c r="O58" s="53"/>
    </row>
    <row r="59">
      <c r="A59" s="32" t="inlineStr">
        <is>
          <t>Penya Aguda</t>
        </is>
      </c>
      <c r="B59" s="52" t="n">
        <v>1523</v>
      </c>
      <c r="C59" s="53" t="inlineStr">
        <is>
          <t>Alt Urgell</t>
        </is>
      </c>
      <c r="D59" s="53" t="inlineStr">
        <is>
          <t>Alt Urgell</t>
        </is>
      </c>
      <c r="E59" s="33" t="inlineStr">
        <is>
          <t>No essencial</t>
        </is>
      </c>
      <c r="F59" s="53" t="n"/>
      <c r="G59" s="33"/>
      <c r="H59" s="54"/>
      <c r="I59" s="53"/>
      <c r="J59" s="55" t="n">
        <v>42.21453</v>
      </c>
      <c r="K59" s="55" t="n">
        <v>1.26726</v>
      </c>
      <c r="L59" s="56" t="inlineStr">
        <is>
          <t>Fitxa ↗</t>
        </is>
      </c>
      <c r="M59" s="56" t="inlineStr">
        <is>
          <t>Mapa ↗</t>
        </is>
      </c>
      <c r="N59" s="33"/>
      <c r="O59" s="53"/>
    </row>
    <row r="60">
      <c r="A60" s="32" t="inlineStr">
        <is>
          <t>Sant Quiri</t>
        </is>
      </c>
      <c r="B60" s="52" t="n">
        <v>1503</v>
      </c>
      <c r="C60" s="53" t="inlineStr">
        <is>
          <t>Alt Urgell</t>
        </is>
      </c>
      <c r="D60" s="53" t="inlineStr">
        <is>
          <t>Alt Urgell</t>
        </is>
      </c>
      <c r="E60" s="33" t="inlineStr">
        <is>
          <t>No essencial</t>
        </is>
      </c>
      <c r="F60" s="53" t="n"/>
      <c r="G60" s="33"/>
      <c r="H60" s="54"/>
      <c r="I60" s="53"/>
      <c r="J60" s="55" t="n">
        <v>42.30524</v>
      </c>
      <c r="K60" s="55" t="n">
        <v>1.30132</v>
      </c>
      <c r="L60" s="56" t="inlineStr">
        <is>
          <t>Fitxa ↗</t>
        </is>
      </c>
      <c r="M60" s="56" t="inlineStr">
        <is>
          <t>Mapa ↗</t>
        </is>
      </c>
      <c r="N60" s="33"/>
      <c r="O60" s="53"/>
    </row>
    <row r="61">
      <c r="A61" s="32" t="inlineStr">
        <is>
          <t>Serrat de Carrasquers</t>
        </is>
      </c>
      <c r="B61" s="52" t="n">
        <v>1429</v>
      </c>
      <c r="C61" s="53" t="inlineStr">
        <is>
          <t>Alt Urgell</t>
        </is>
      </c>
      <c r="D61" s="53" t="inlineStr">
        <is>
          <t>Alt Urgell</t>
        </is>
      </c>
      <c r="E61" s="33" t="inlineStr">
        <is>
          <t>No essencial</t>
        </is>
      </c>
      <c r="F61" s="53" t="n"/>
      <c r="G61" s="33"/>
      <c r="H61" s="54"/>
      <c r="I61" s="53"/>
      <c r="J61" s="55" t="n">
        <v>42.13255</v>
      </c>
      <c r="K61" s="55" t="n">
        <v>1.1927</v>
      </c>
      <c r="L61" s="56" t="inlineStr">
        <is>
          <t>Fitxa ↗</t>
        </is>
      </c>
      <c r="M61" s="56" t="inlineStr">
        <is>
          <t>Mapa ↗</t>
        </is>
      </c>
      <c r="N61" s="33"/>
      <c r="O61" s="53"/>
    </row>
    <row r="62">
      <c r="A62" s="32" t="inlineStr">
        <is>
          <t>Roca del Coscolló</t>
        </is>
      </c>
      <c r="B62" s="52" t="n">
        <v>1299</v>
      </c>
      <c r="C62" s="53" t="inlineStr">
        <is>
          <t>Alt Urgell</t>
        </is>
      </c>
      <c r="D62" s="53" t="inlineStr">
        <is>
          <t>Alt Urgell, Solsonès</t>
        </is>
      </c>
      <c r="E62" s="33" t="inlineStr">
        <is>
          <t>No essencial</t>
        </is>
      </c>
      <c r="F62" s="53" t="n"/>
      <c r="G62" s="33"/>
      <c r="H62" s="54"/>
      <c r="I62" s="53"/>
      <c r="J62" s="55" t="n">
        <v>42.12782</v>
      </c>
      <c r="K62" s="55" t="n">
        <v>1.35435</v>
      </c>
      <c r="L62" s="56" t="inlineStr">
        <is>
          <t>Fitxa ↗</t>
        </is>
      </c>
      <c r="M62" s="56" t="inlineStr">
        <is>
          <t>Mapa ↗</t>
        </is>
      </c>
      <c r="N62" s="33"/>
      <c r="O62" s="53"/>
    </row>
    <row r="63">
      <c r="A63" s="32" t="inlineStr">
        <is>
          <t>Santa Fe</t>
        </is>
      </c>
      <c r="B63" s="52" t="n">
        <v>1211</v>
      </c>
      <c r="C63" s="53" t="inlineStr">
        <is>
          <t>Alt Urgell</t>
        </is>
      </c>
      <c r="D63" s="53" t="inlineStr">
        <is>
          <t>Alt Urgell</t>
        </is>
      </c>
      <c r="E63" s="33" t="inlineStr">
        <is>
          <t>Essencial</t>
        </is>
      </c>
      <c r="F63" s="53" t="n"/>
      <c r="G63" s="33"/>
      <c r="H63" s="54"/>
      <c r="I63" s="53"/>
      <c r="J63" s="55" t="n">
        <v>42.20907</v>
      </c>
      <c r="K63" s="55" t="n">
        <v>1.30115</v>
      </c>
      <c r="L63" s="56" t="inlineStr">
        <is>
          <t>Fitxa ↗</t>
        </is>
      </c>
      <c r="M63" s="56" t="inlineStr">
        <is>
          <t>Mapa ↗</t>
        </is>
      </c>
      <c r="N63" s="33"/>
      <c r="O63" s="53"/>
    </row>
    <row r="64">
      <c r="A64" s="32" t="inlineStr">
        <is>
          <t>Tossal de Balinyó</t>
        </is>
      </c>
      <c r="B64" s="52" t="n">
        <v>1211</v>
      </c>
      <c r="C64" s="53" t="inlineStr">
        <is>
          <t>Alt Urgell</t>
        </is>
      </c>
      <c r="D64" s="53" t="inlineStr">
        <is>
          <t>Alt Urgell</t>
        </is>
      </c>
      <c r="E64" s="33" t="inlineStr">
        <is>
          <t>No essencial</t>
        </is>
      </c>
      <c r="F64" s="53" t="n"/>
      <c r="G64" s="33"/>
      <c r="H64" s="54"/>
      <c r="I64" s="53"/>
      <c r="J64" s="55" t="n">
        <v>42.1884</v>
      </c>
      <c r="K64" s="55" t="n">
        <v>1.3435</v>
      </c>
      <c r="L64" s="56" t="inlineStr">
        <is>
          <t>Fitxa ↗</t>
        </is>
      </c>
      <c r="M64" s="56" t="inlineStr">
        <is>
          <t>Mapa ↗</t>
        </is>
      </c>
      <c r="N64" s="33"/>
      <c r="O64" s="53"/>
    </row>
    <row r="65">
      <c r="A65" s="32" t="inlineStr">
        <is>
          <t>Sant Honorat</t>
        </is>
      </c>
      <c r="B65" s="52" t="n">
        <v>1068</v>
      </c>
      <c r="C65" s="53" t="inlineStr">
        <is>
          <t>Alt Urgell</t>
        </is>
      </c>
      <c r="D65" s="53" t="inlineStr">
        <is>
          <t>Alt Urgell</t>
        </is>
      </c>
      <c r="E65" s="33" t="inlineStr">
        <is>
          <t>Essencial</t>
        </is>
      </c>
      <c r="F65" s="53" t="n"/>
      <c r="G65" s="33"/>
      <c r="H65" s="54"/>
      <c r="I65" s="53"/>
      <c r="J65" s="55" t="n">
        <v>42.08379</v>
      </c>
      <c r="K65" s="55" t="n">
        <v>1.27038</v>
      </c>
      <c r="L65" s="56" t="inlineStr">
        <is>
          <t>Fitxa ↗</t>
        </is>
      </c>
      <c r="M65" s="56" t="inlineStr">
        <is>
          <t>Mapa ↗</t>
        </is>
      </c>
      <c r="N65" s="33"/>
      <c r="O65" s="53"/>
    </row>
    <row r="66">
      <c r="A66" s="32" t="inlineStr">
        <is>
          <t>Roc de Cogul</t>
        </is>
      </c>
      <c r="B66" s="52" t="n">
        <v>885</v>
      </c>
      <c r="C66" s="53" t="inlineStr">
        <is>
          <t>Alt Urgell</t>
        </is>
      </c>
      <c r="D66" s="53" t="inlineStr">
        <is>
          <t>Alt Urgell</t>
        </is>
      </c>
      <c r="E66" s="33" t="inlineStr">
        <is>
          <t>No essencial</t>
        </is>
      </c>
      <c r="F66" s="53" t="n"/>
      <c r="G66" s="33"/>
      <c r="H66" s="54"/>
      <c r="I66" s="53"/>
      <c r="J66" s="55" t="n">
        <v>42.06529</v>
      </c>
      <c r="K66" s="55" t="n">
        <v>1.26543</v>
      </c>
      <c r="L66" s="56" t="inlineStr">
        <is>
          <t>Fitxa ↗</t>
        </is>
      </c>
      <c r="M66" s="56" t="inlineStr">
        <is>
          <t>Mapa ↗</t>
        </is>
      </c>
      <c r="N66" s="33"/>
      <c r="O66" s="53"/>
    </row>
    <row r="67">
      <c r="A67" s="32" t="inlineStr">
        <is>
          <t>Roc de les Tres Creus</t>
        </is>
      </c>
      <c r="B67" s="52" t="n">
        <v>854</v>
      </c>
      <c r="C67" s="53" t="inlineStr">
        <is>
          <t>Alt Urgell</t>
        </is>
      </c>
      <c r="D67" s="53" t="inlineStr">
        <is>
          <t>Alt Urgell</t>
        </is>
      </c>
      <c r="E67" s="33" t="inlineStr">
        <is>
          <t>No essencial</t>
        </is>
      </c>
      <c r="F67" s="53" t="n"/>
      <c r="G67" s="33"/>
      <c r="H67" s="54"/>
      <c r="I67" s="53"/>
      <c r="J67" s="55" t="n">
        <v>42.09126</v>
      </c>
      <c r="K67" s="55" t="n">
        <v>1.30948</v>
      </c>
      <c r="L67" s="56" t="inlineStr">
        <is>
          <t>Fitxa ↗</t>
        </is>
      </c>
      <c r="M67" s="56" t="inlineStr">
        <is>
          <t>Mapa ↗</t>
        </is>
      </c>
      <c r="N67" s="33"/>
      <c r="O67" s="53"/>
    </row>
    <row r="68">
      <c r="A68" s="32" t="inlineStr">
        <is>
          <t>Pic de Comaloforno</t>
        </is>
      </c>
      <c r="B68" s="52" t="n">
        <v>3029</v>
      </c>
      <c r="C68" s="53" t="inlineStr">
        <is>
          <t>Alta Ribagorça</t>
        </is>
      </c>
      <c r="D68" s="53" t="inlineStr">
        <is>
          <t>Alta Ribagorça</t>
        </is>
      </c>
      <c r="E68" s="33" t="inlineStr">
        <is>
          <t>Essencial</t>
        </is>
      </c>
      <c r="F68" s="53" t="inlineStr">
        <is>
          <t>Alta Ribagorça</t>
        </is>
      </c>
      <c r="G68" s="33"/>
      <c r="H68" s="54"/>
      <c r="I68" s="53"/>
      <c r="J68" s="55" t="n">
        <v>42.59138</v>
      </c>
      <c r="K68" s="55" t="n">
        <v>0.82783</v>
      </c>
      <c r="L68" s="56" t="inlineStr">
        <is>
          <t>Fitxa ↗</t>
        </is>
      </c>
      <c r="M68" s="56" t="inlineStr">
        <is>
          <t>Mapa ↗</t>
        </is>
      </c>
      <c r="N68" s="33"/>
      <c r="O68" s="53"/>
    </row>
    <row r="69">
      <c r="A69" s="32" t="inlineStr">
        <is>
          <t>Besiberri Sud</t>
        </is>
      </c>
      <c r="B69" s="52" t="n">
        <v>3023</v>
      </c>
      <c r="C69" s="53" t="inlineStr">
        <is>
          <t>Alta Ribagorça</t>
        </is>
      </c>
      <c r="D69" s="53" t="inlineStr">
        <is>
          <t>Alta Ribagorça</t>
        </is>
      </c>
      <c r="E69" s="33" t="inlineStr">
        <is>
          <t>No essencial</t>
        </is>
      </c>
      <c r="F69" s="53" t="n"/>
      <c r="G69" s="33"/>
      <c r="H69" s="54"/>
      <c r="I69" s="53"/>
      <c r="J69" s="55" t="n">
        <v>42.59379</v>
      </c>
      <c r="K69" s="55" t="n">
        <v>0.826</v>
      </c>
      <c r="L69" s="56" t="inlineStr">
        <is>
          <t>Fitxa ↗</t>
        </is>
      </c>
      <c r="M69" s="56" t="inlineStr">
        <is>
          <t>Mapa ↗</t>
        </is>
      </c>
      <c r="N69" s="33"/>
      <c r="O69" s="53"/>
    </row>
    <row r="70">
      <c r="A70" s="32" t="inlineStr">
        <is>
          <t>Punta Alta</t>
        </is>
      </c>
      <c r="B70" s="52" t="n">
        <v>3014</v>
      </c>
      <c r="C70" s="53" t="inlineStr">
        <is>
          <t>Alta Ribagorça</t>
        </is>
      </c>
      <c r="D70" s="53" t="inlineStr">
        <is>
          <t>Alta Ribagorça</t>
        </is>
      </c>
      <c r="E70" s="33" t="inlineStr">
        <is>
          <t>Essencial</t>
        </is>
      </c>
      <c r="F70" s="53" t="n"/>
      <c r="G70" s="33"/>
      <c r="H70" s="54"/>
      <c r="I70" s="53"/>
      <c r="J70" s="55" t="n">
        <v>42.5857</v>
      </c>
      <c r="K70" s="55" t="n">
        <v>0.88029</v>
      </c>
      <c r="L70" s="56" t="inlineStr">
        <is>
          <t>Fitxa ↗</t>
        </is>
      </c>
      <c r="M70" s="56" t="inlineStr">
        <is>
          <t>Mapa ↗</t>
        </is>
      </c>
      <c r="N70" s="33"/>
      <c r="O70" s="53"/>
    </row>
    <row r="71">
      <c r="A71" s="32" t="inlineStr">
        <is>
          <t>Besiberri Nord</t>
        </is>
      </c>
      <c r="B71" s="52" t="n">
        <v>3008</v>
      </c>
      <c r="C71" s="53" t="inlineStr">
        <is>
          <t>Alta Ribagorça</t>
        </is>
      </c>
      <c r="D71" s="53" t="inlineStr">
        <is>
          <t>Alta Ribagorça, Val d'Aran</t>
        </is>
      </c>
      <c r="E71" s="33" t="inlineStr">
        <is>
          <t>No essencial</t>
        </is>
      </c>
      <c r="F71" s="53" t="n"/>
      <c r="G71" s="33"/>
      <c r="H71" s="54"/>
      <c r="I71" s="53"/>
      <c r="J71" s="55" t="n">
        <v>42.60526</v>
      </c>
      <c r="K71" s="55" t="n">
        <v>0.8263</v>
      </c>
      <c r="L71" s="56" t="inlineStr">
        <is>
          <t>Fitxa ↗</t>
        </is>
      </c>
      <c r="M71" s="56" t="inlineStr">
        <is>
          <t>Mapa ↗</t>
        </is>
      </c>
      <c r="N71" s="33"/>
      <c r="O71" s="53"/>
    </row>
    <row r="72">
      <c r="A72" s="32" t="inlineStr">
        <is>
          <t>Pic de la Pala Alta de Sarradé</t>
        </is>
      </c>
      <c r="B72" s="52" t="n">
        <v>2983</v>
      </c>
      <c r="C72" s="53" t="inlineStr">
        <is>
          <t>Alta Ribagorça</t>
        </is>
      </c>
      <c r="D72" s="53" t="inlineStr">
        <is>
          <t>Alta Ribagorça</t>
        </is>
      </c>
      <c r="E72" s="33" t="inlineStr">
        <is>
          <t>No essencial</t>
        </is>
      </c>
      <c r="F72" s="53" t="n"/>
      <c r="G72" s="33"/>
      <c r="H72" s="54"/>
      <c r="I72" s="53"/>
      <c r="J72" s="55" t="n">
        <v>42.57471</v>
      </c>
      <c r="K72" s="55" t="n">
        <v>0.89094</v>
      </c>
      <c r="L72" s="56" t="inlineStr">
        <is>
          <t>Fitxa ↗</t>
        </is>
      </c>
      <c r="M72" s="56" t="inlineStr">
        <is>
          <t>Mapa ↗</t>
        </is>
      </c>
      <c r="N72" s="33"/>
      <c r="O72" s="53"/>
    </row>
    <row r="73">
      <c r="A73" s="32" t="inlineStr">
        <is>
          <t>Pic de Contraix</t>
        </is>
      </c>
      <c r="B73" s="52" t="n">
        <v>2958</v>
      </c>
      <c r="C73" s="53" t="inlineStr">
        <is>
          <t>Alta Ribagorça</t>
        </is>
      </c>
      <c r="D73" s="53" t="inlineStr">
        <is>
          <t>Alta Ribagorça</t>
        </is>
      </c>
      <c r="E73" s="33" t="inlineStr">
        <is>
          <t>No essencial</t>
        </is>
      </c>
      <c r="F73" s="53" t="n"/>
      <c r="G73" s="33"/>
      <c r="H73" s="54"/>
      <c r="I73" s="53"/>
      <c r="J73" s="55" t="n">
        <v>42.58524</v>
      </c>
      <c r="K73" s="55" t="n">
        <v>0.90693</v>
      </c>
      <c r="L73" s="56" t="inlineStr">
        <is>
          <t>Fitxa ↗</t>
        </is>
      </c>
      <c r="M73" s="56" t="inlineStr">
        <is>
          <t>Mapa ↗</t>
        </is>
      </c>
      <c r="N73" s="33"/>
      <c r="O73" s="53"/>
    </row>
    <row r="74">
      <c r="A74" s="32" t="inlineStr">
        <is>
          <t>Punta Senyalada</t>
        </is>
      </c>
      <c r="B74" s="52" t="n">
        <v>2952</v>
      </c>
      <c r="C74" s="53" t="inlineStr">
        <is>
          <t>Alta Ribagorça</t>
        </is>
      </c>
      <c r="D74" s="53" t="inlineStr">
        <is>
          <t>Alta Ribagorça</t>
        </is>
      </c>
      <c r="E74" s="33" t="inlineStr">
        <is>
          <t>No essencial</t>
        </is>
      </c>
      <c r="F74" s="53" t="n"/>
      <c r="G74" s="33"/>
      <c r="H74" s="54"/>
      <c r="I74" s="53"/>
      <c r="J74" s="55" t="n">
        <v>42.59137</v>
      </c>
      <c r="K74" s="55" t="n">
        <v>0.80848</v>
      </c>
      <c r="L74" s="56" t="inlineStr">
        <is>
          <t>Fitxa ↗</t>
        </is>
      </c>
      <c r="M74" s="56" t="inlineStr">
        <is>
          <t>Mapa ↗</t>
        </is>
      </c>
      <c r="N74" s="33"/>
      <c r="O74" s="53"/>
    </row>
    <row r="75">
      <c r="A75" s="32" t="inlineStr">
        <is>
          <t>Gran Tuc de Colomers</t>
        </is>
      </c>
      <c r="B75" s="52" t="n">
        <v>2933</v>
      </c>
      <c r="C75" s="53" t="inlineStr">
        <is>
          <t>Alta Ribagorça</t>
        </is>
      </c>
      <c r="D75" s="53" t="inlineStr">
        <is>
          <t>Alta Ribagorça, Val d'Aran</t>
        </is>
      </c>
      <c r="E75" s="33" t="inlineStr">
        <is>
          <t>Essencial</t>
        </is>
      </c>
      <c r="F75" s="53" t="n"/>
      <c r="G75" s="33"/>
      <c r="H75" s="54"/>
      <c r="I75" s="53"/>
      <c r="J75" s="55" t="n">
        <v>42.58939</v>
      </c>
      <c r="K75" s="55" t="n">
        <v>0.93781</v>
      </c>
      <c r="L75" s="56" t="inlineStr">
        <is>
          <t>Fitxa ↗</t>
        </is>
      </c>
      <c r="M75" s="56" t="inlineStr">
        <is>
          <t>Mapa ↗</t>
        </is>
      </c>
      <c r="N75" s="33"/>
      <c r="O75" s="53"/>
    </row>
    <row r="76">
      <c r="A76" s="32" t="inlineStr">
        <is>
          <t>Gran Pic del Pessó</t>
        </is>
      </c>
      <c r="B76" s="52" t="n">
        <v>2894</v>
      </c>
      <c r="C76" s="53" t="inlineStr">
        <is>
          <t>Alta Ribagorça</t>
        </is>
      </c>
      <c r="D76" s="53" t="inlineStr">
        <is>
          <t>Alta Ribagorça, Pallars Jussà</t>
        </is>
      </c>
      <c r="E76" s="33" t="inlineStr">
        <is>
          <t>No essencial</t>
        </is>
      </c>
      <c r="F76" s="53" t="n"/>
      <c r="G76" s="33"/>
      <c r="H76" s="54"/>
      <c r="I76" s="53"/>
      <c r="J76" s="55" t="n">
        <v>42.50949</v>
      </c>
      <c r="K76" s="55" t="n">
        <v>0.9241</v>
      </c>
      <c r="L76" s="56" t="inlineStr">
        <is>
          <t>Fitxa ↗</t>
        </is>
      </c>
      <c r="M76" s="56" t="inlineStr">
        <is>
          <t>Mapa ↗</t>
        </is>
      </c>
      <c r="N76" s="33"/>
      <c r="O76" s="53"/>
    </row>
    <row r="77">
      <c r="A77" s="32" t="inlineStr">
        <is>
          <t>Punta d’Harlé</t>
        </is>
      </c>
      <c r="B77" s="52" t="n">
        <v>2885</v>
      </c>
      <c r="C77" s="53" t="inlineStr">
        <is>
          <t>Alta Ribagorça</t>
        </is>
      </c>
      <c r="D77" s="53" t="inlineStr">
        <is>
          <t>Alta Ribagorça, Val d'Aran</t>
        </is>
      </c>
      <c r="E77" s="33" t="inlineStr">
        <is>
          <t>No essencial</t>
        </is>
      </c>
      <c r="F77" s="53" t="n"/>
      <c r="G77" s="33"/>
      <c r="H77" s="54"/>
      <c r="I77" s="53"/>
      <c r="J77" s="55" t="n">
        <v>42.6104</v>
      </c>
      <c r="K77" s="55" t="n">
        <v>0.8426</v>
      </c>
      <c r="L77" s="56" t="inlineStr">
        <is>
          <t>Fitxa ↗</t>
        </is>
      </c>
      <c r="M77" s="56" t="inlineStr">
        <is>
          <t>Mapa ↗</t>
        </is>
      </c>
      <c r="N77" s="33"/>
      <c r="O77" s="53"/>
    </row>
    <row r="78">
      <c r="A78" s="32" t="inlineStr">
        <is>
          <t>Pic de Mariolo (Pic de Neriolo)</t>
        </is>
      </c>
      <c r="B78" s="52" t="n">
        <v>2857</v>
      </c>
      <c r="C78" s="53" t="inlineStr">
        <is>
          <t>Alta Ribagorça</t>
        </is>
      </c>
      <c r="D78" s="53" t="inlineStr">
        <is>
          <t>Alta Ribagorça, Pallars Jussà</t>
        </is>
      </c>
      <c r="E78" s="33" t="inlineStr">
        <is>
          <t>No essencial</t>
        </is>
      </c>
      <c r="F78" s="53" t="n"/>
      <c r="G78" s="33"/>
      <c r="H78" s="54"/>
      <c r="I78" s="53"/>
      <c r="J78" s="55" t="n">
        <v>42.53073</v>
      </c>
      <c r="K78" s="55" t="n">
        <v>0.95763</v>
      </c>
      <c r="L78" s="56" t="inlineStr">
        <is>
          <t>Fitxa ↗</t>
        </is>
      </c>
      <c r="M78" s="56" t="inlineStr">
        <is>
          <t>Mapa ↗</t>
        </is>
      </c>
      <c r="N78" s="33"/>
      <c r="O78" s="53"/>
    </row>
    <row r="79">
      <c r="A79" s="32" t="inlineStr">
        <is>
          <t>Tuc des Carants</t>
        </is>
      </c>
      <c r="B79" s="52" t="n">
        <v>2791</v>
      </c>
      <c r="C79" s="53" t="inlineStr">
        <is>
          <t>Alta Ribagorça</t>
        </is>
      </c>
      <c r="D79" s="53" t="inlineStr">
        <is>
          <t>Alta Ribagorça</t>
        </is>
      </c>
      <c r="E79" s="33" t="inlineStr">
        <is>
          <t>No essencial</t>
        </is>
      </c>
      <c r="F79" s="53" t="n"/>
      <c r="G79" s="33"/>
      <c r="H79" s="54"/>
      <c r="I79" s="53"/>
      <c r="J79" s="55" t="n">
        <v>42.51405</v>
      </c>
      <c r="K79" s="55" t="n">
        <v>0.90333</v>
      </c>
      <c r="L79" s="56" t="inlineStr">
        <is>
          <t>Fitxa ↗</t>
        </is>
      </c>
      <c r="M79" s="56" t="inlineStr">
        <is>
          <t>Mapa ↗</t>
        </is>
      </c>
      <c r="N79" s="33"/>
      <c r="O79" s="53"/>
    </row>
    <row r="80">
      <c r="A80" s="32" t="inlineStr">
        <is>
          <t>Tuc de la Contesa</t>
        </is>
      </c>
      <c r="B80" s="52" t="n">
        <v>2780</v>
      </c>
      <c r="C80" s="53" t="inlineStr">
        <is>
          <t>Alta Ribagorça</t>
        </is>
      </c>
      <c r="D80" s="53" t="inlineStr">
        <is>
          <t>Alta Ribagorça, Val d'Aran</t>
        </is>
      </c>
      <c r="E80" s="33" t="inlineStr">
        <is>
          <t>No essencial</t>
        </is>
      </c>
      <c r="F80" s="53" t="n"/>
      <c r="G80" s="33"/>
      <c r="H80" s="54"/>
      <c r="I80" s="53"/>
      <c r="J80" s="55" t="n">
        <v>42.61552</v>
      </c>
      <c r="K80" s="55" t="n">
        <v>0.78859</v>
      </c>
      <c r="L80" s="56" t="inlineStr">
        <is>
          <t>Fitxa ↗</t>
        </is>
      </c>
      <c r="M80" s="56" t="inlineStr">
        <is>
          <t>Mapa ↗</t>
        </is>
      </c>
      <c r="N80" s="33"/>
      <c r="O80" s="53"/>
    </row>
    <row r="81">
      <c r="A81" s="32" t="inlineStr">
        <is>
          <t>Tuc de Lluçà</t>
        </is>
      </c>
      <c r="B81" s="52" t="n">
        <v>2778</v>
      </c>
      <c r="C81" s="53" t="inlineStr">
        <is>
          <t>Alta Ribagorça</t>
        </is>
      </c>
      <c r="D81" s="53" t="inlineStr">
        <is>
          <t>Alta Ribagorça, Val d'Aran</t>
        </is>
      </c>
      <c r="E81" s="33" t="inlineStr">
        <is>
          <t>No essencial</t>
        </is>
      </c>
      <c r="F81" s="53" t="n"/>
      <c r="G81" s="33"/>
      <c r="H81" s="54"/>
      <c r="I81" s="53"/>
      <c r="J81" s="55" t="n">
        <v>42.61029</v>
      </c>
      <c r="K81" s="55" t="n">
        <v>0.90118</v>
      </c>
      <c r="L81" s="56" t="inlineStr">
        <is>
          <t>Fitxa ↗</t>
        </is>
      </c>
      <c r="M81" s="56" t="inlineStr">
        <is>
          <t>Mapa ↗</t>
        </is>
      </c>
      <c r="N81" s="33"/>
      <c r="O81" s="53"/>
    </row>
    <row r="82">
      <c r="A82" s="32" t="inlineStr">
        <is>
          <t>Tuc des Monges</t>
        </is>
      </c>
      <c r="B82" s="52" t="n">
        <v>2699</v>
      </c>
      <c r="C82" s="53" t="inlineStr">
        <is>
          <t>Alta Ribagorça</t>
        </is>
      </c>
      <c r="D82" s="53" t="inlineStr">
        <is>
          <t>Alta Ribagorça, Val d'Aran</t>
        </is>
      </c>
      <c r="E82" s="33" t="inlineStr">
        <is>
          <t>No essencial</t>
        </is>
      </c>
      <c r="F82" s="53" t="n"/>
      <c r="G82" s="33"/>
      <c r="H82" s="54"/>
      <c r="I82" s="53"/>
      <c r="J82" s="55" t="n">
        <v>42.62239</v>
      </c>
      <c r="K82" s="55" t="n">
        <v>0.86602</v>
      </c>
      <c r="L82" s="56" t="inlineStr">
        <is>
          <t>Fitxa ↗</t>
        </is>
      </c>
      <c r="M82" s="56" t="inlineStr">
        <is>
          <t>Mapa ↗</t>
        </is>
      </c>
      <c r="N82" s="33"/>
      <c r="O82" s="53"/>
    </row>
    <row r="83">
      <c r="A83" s="32" t="inlineStr">
        <is>
          <t>Tuc de Ribereta</t>
        </is>
      </c>
      <c r="B83" s="52" t="n">
        <v>2676</v>
      </c>
      <c r="C83" s="53" t="inlineStr">
        <is>
          <t>Alta Ribagorça</t>
        </is>
      </c>
      <c r="D83" s="53" t="inlineStr">
        <is>
          <t>Alta Ribagorça, Val d'Aran</t>
        </is>
      </c>
      <c r="E83" s="33" t="inlineStr">
        <is>
          <t>No essencial</t>
        </is>
      </c>
      <c r="F83" s="53" t="n"/>
      <c r="G83" s="33"/>
      <c r="H83" s="54"/>
      <c r="I83" s="53"/>
      <c r="J83" s="55" t="n">
        <v>42.62615</v>
      </c>
      <c r="K83" s="55" t="n">
        <v>0.89524</v>
      </c>
      <c r="L83" s="56" t="inlineStr">
        <is>
          <t>Fitxa ↗</t>
        </is>
      </c>
      <c r="M83" s="56" t="inlineStr">
        <is>
          <t>Mapa ↗</t>
        </is>
      </c>
      <c r="N83" s="33"/>
      <c r="O83" s="53"/>
    </row>
    <row r="84">
      <c r="A84" s="32" t="inlineStr">
        <is>
          <t>Pic Roi</t>
        </is>
      </c>
      <c r="B84" s="52" t="n">
        <v>2585</v>
      </c>
      <c r="C84" s="53" t="inlineStr">
        <is>
          <t>Alta Ribagorça</t>
        </is>
      </c>
      <c r="D84" s="53" t="inlineStr">
        <is>
          <t>Alta Ribagorça</t>
        </is>
      </c>
      <c r="E84" s="33" t="inlineStr">
        <is>
          <t>No essencial</t>
        </is>
      </c>
      <c r="F84" s="53" t="n"/>
      <c r="G84" s="33"/>
      <c r="H84" s="54"/>
      <c r="I84" s="53"/>
      <c r="J84" s="55" t="n">
        <v>42.5652</v>
      </c>
      <c r="K84" s="55" t="n">
        <v>0.79819</v>
      </c>
      <c r="L84" s="56" t="inlineStr">
        <is>
          <t>Fitxa ↗</t>
        </is>
      </c>
      <c r="M84" s="56" t="inlineStr">
        <is>
          <t>Mapa ↗</t>
        </is>
      </c>
      <c r="N84" s="33"/>
      <c r="O84" s="53"/>
    </row>
    <row r="85">
      <c r="A85" s="32" t="inlineStr">
        <is>
          <t>Tuc de la Comamarja</t>
        </is>
      </c>
      <c r="B85" s="52" t="n">
        <v>2562</v>
      </c>
      <c r="C85" s="53" t="inlineStr">
        <is>
          <t>Alta Ribagorça</t>
        </is>
      </c>
      <c r="D85" s="53" t="inlineStr">
        <is>
          <t>Alta Ribagorça</t>
        </is>
      </c>
      <c r="E85" s="33" t="inlineStr">
        <is>
          <t>No essencial</t>
        </is>
      </c>
      <c r="F85" s="53" t="n"/>
      <c r="G85" s="33"/>
      <c r="H85" s="54"/>
      <c r="I85" s="53"/>
      <c r="J85" s="55" t="n">
        <v>42.52643</v>
      </c>
      <c r="K85" s="55" t="n">
        <v>0.87831</v>
      </c>
      <c r="L85" s="56" t="inlineStr">
        <is>
          <t>Fitxa ↗</t>
        </is>
      </c>
      <c r="M85" s="56" t="inlineStr">
        <is>
          <t>Mapa ↗</t>
        </is>
      </c>
      <c r="N85" s="33"/>
      <c r="O85" s="53"/>
    </row>
    <row r="86">
      <c r="A86" s="32" t="inlineStr">
        <is>
          <t>Lo Corronco</t>
        </is>
      </c>
      <c r="B86" s="52" t="n">
        <v>2543</v>
      </c>
      <c r="C86" s="53" t="inlineStr">
        <is>
          <t>Alta Ribagorça</t>
        </is>
      </c>
      <c r="D86" s="53" t="inlineStr">
        <is>
          <t>Alta Ribagorça</t>
        </is>
      </c>
      <c r="E86" s="33" t="inlineStr">
        <is>
          <t>Essencial</t>
        </is>
      </c>
      <c r="F86" s="53" t="n"/>
      <c r="G86" s="33"/>
      <c r="H86" s="54"/>
      <c r="I86" s="53"/>
      <c r="J86" s="55" t="n">
        <v>42.46212</v>
      </c>
      <c r="K86" s="55" t="n">
        <v>0.8285</v>
      </c>
      <c r="L86" s="56" t="inlineStr">
        <is>
          <t>Fitxa ↗</t>
        </is>
      </c>
      <c r="M86" s="56" t="inlineStr">
        <is>
          <t>Mapa ↗</t>
        </is>
      </c>
      <c r="N86" s="33"/>
      <c r="O86" s="53"/>
    </row>
    <row r="87">
      <c r="A87" s="32" t="inlineStr">
        <is>
          <t>l’Aüt</t>
        </is>
      </c>
      <c r="B87" s="52" t="n">
        <v>2532</v>
      </c>
      <c r="C87" s="53" t="inlineStr">
        <is>
          <t>Alta Ribagorça</t>
        </is>
      </c>
      <c r="D87" s="53" t="inlineStr">
        <is>
          <t>Alta Ribagorça</t>
        </is>
      </c>
      <c r="E87" s="33" t="inlineStr">
        <is>
          <t>No essencial</t>
        </is>
      </c>
      <c r="F87" s="53" t="n"/>
      <c r="G87" s="33"/>
      <c r="H87" s="54"/>
      <c r="I87" s="53"/>
      <c r="J87" s="55" t="n">
        <v>42.54134</v>
      </c>
      <c r="K87" s="55" t="n">
        <v>0.80876</v>
      </c>
      <c r="L87" s="56" t="inlineStr">
        <is>
          <t>Fitxa ↗</t>
        </is>
      </c>
      <c r="M87" s="56" t="inlineStr">
        <is>
          <t>Mapa ↗</t>
        </is>
      </c>
      <c r="N87" s="33"/>
      <c r="O87" s="53"/>
    </row>
    <row r="88">
      <c r="A88" s="32" t="inlineStr">
        <is>
          <t>Cap de Gelada</t>
        </is>
      </c>
      <c r="B88" s="52" t="n">
        <v>2449</v>
      </c>
      <c r="C88" s="53" t="inlineStr">
        <is>
          <t>Alta Ribagorça</t>
        </is>
      </c>
      <c r="D88" s="53" t="inlineStr">
        <is>
          <t>Alta Ribagorça</t>
        </is>
      </c>
      <c r="E88" s="33" t="inlineStr">
        <is>
          <t>No essencial</t>
        </is>
      </c>
      <c r="F88" s="53" t="n"/>
      <c r="G88" s="33"/>
      <c r="H88" s="54"/>
      <c r="I88" s="53"/>
      <c r="J88" s="55" t="n">
        <v>42.52155</v>
      </c>
      <c r="K88" s="55" t="n">
        <v>0.76514</v>
      </c>
      <c r="L88" s="56" t="inlineStr">
        <is>
          <t>Fitxa ↗</t>
        </is>
      </c>
      <c r="M88" s="56" t="inlineStr">
        <is>
          <t>Mapa ↗</t>
        </is>
      </c>
      <c r="N88" s="33"/>
      <c r="O88" s="53"/>
    </row>
    <row r="89">
      <c r="A89" s="32" t="inlineStr">
        <is>
          <t>Tossal de les Roies de Cardet</t>
        </is>
      </c>
      <c r="B89" s="52" t="n">
        <v>2445</v>
      </c>
      <c r="C89" s="53" t="inlineStr">
        <is>
          <t>Alta Ribagorça</t>
        </is>
      </c>
      <c r="D89" s="53" t="inlineStr">
        <is>
          <t>Alta Ribagorça</t>
        </is>
      </c>
      <c r="E89" s="33" t="inlineStr">
        <is>
          <t>Essencial</t>
        </is>
      </c>
      <c r="F89" s="53" t="n"/>
      <c r="G89" s="33"/>
      <c r="H89" s="54"/>
      <c r="I89" s="53"/>
      <c r="J89" s="55" t="n">
        <v>42.51858</v>
      </c>
      <c r="K89" s="55" t="n">
        <v>0.76537</v>
      </c>
      <c r="L89" s="56" t="inlineStr">
        <is>
          <t>Fitxa ↗</t>
        </is>
      </c>
      <c r="M89" s="56" t="inlineStr">
        <is>
          <t>Mapa ↗</t>
        </is>
      </c>
      <c r="N89" s="33"/>
      <c r="O89" s="53"/>
    </row>
    <row r="90">
      <c r="A90" s="32" t="inlineStr">
        <is>
          <t>Pala del Teller</t>
        </is>
      </c>
      <c r="B90" s="52" t="n">
        <v>1889</v>
      </c>
      <c r="C90" s="53" t="inlineStr">
        <is>
          <t>Alta Ribagorça</t>
        </is>
      </c>
      <c r="D90" s="53" t="inlineStr">
        <is>
          <t>Alta Ribagorça, Pallars Jussà</t>
        </is>
      </c>
      <c r="E90" s="33" t="inlineStr">
        <is>
          <t>Essencial</t>
        </is>
      </c>
      <c r="F90" s="53" t="n"/>
      <c r="G90" s="33"/>
      <c r="H90" s="54"/>
      <c r="I90" s="53"/>
      <c r="J90" s="55" t="n">
        <v>42.31686</v>
      </c>
      <c r="K90" s="55" t="n">
        <v>0.80948</v>
      </c>
      <c r="L90" s="56" t="inlineStr">
        <is>
          <t>Fitxa ↗</t>
        </is>
      </c>
      <c r="M90" s="56" t="inlineStr">
        <is>
          <t>Mapa ↗</t>
        </is>
      </c>
      <c r="N90" s="33"/>
      <c r="O90" s="53"/>
    </row>
    <row r="91">
      <c r="A91" s="32" t="inlineStr">
        <is>
          <t>l’Avedoga d’Adons</t>
        </is>
      </c>
      <c r="B91" s="52" t="n">
        <v>1839</v>
      </c>
      <c r="C91" s="53" t="inlineStr">
        <is>
          <t>Alta Ribagorça</t>
        </is>
      </c>
      <c r="D91" s="53" t="inlineStr">
        <is>
          <t>Alta Ribagorça, Pallars Jussà</t>
        </is>
      </c>
      <c r="E91" s="33" t="inlineStr">
        <is>
          <t>No essencial</t>
        </is>
      </c>
      <c r="F91" s="53" t="n"/>
      <c r="G91" s="33"/>
      <c r="H91" s="54"/>
      <c r="I91" s="53"/>
      <c r="J91" s="55" t="n">
        <v>42.31412</v>
      </c>
      <c r="K91" s="55" t="n">
        <v>0.8381999999999999</v>
      </c>
      <c r="L91" s="56" t="inlineStr">
        <is>
          <t>Fitxa ↗</t>
        </is>
      </c>
      <c r="M91" s="56" t="inlineStr">
        <is>
          <t>Mapa ↗</t>
        </is>
      </c>
      <c r="N91" s="33"/>
      <c r="O91" s="53"/>
    </row>
    <row r="92">
      <c r="A92" s="32" t="inlineStr">
        <is>
          <t>La Faiada</t>
        </is>
      </c>
      <c r="B92" s="52" t="n">
        <v>1699</v>
      </c>
      <c r="C92" s="53" t="inlineStr">
        <is>
          <t>Alta Ribagorça</t>
        </is>
      </c>
      <c r="D92" s="53" t="inlineStr">
        <is>
          <t>Alta Ribagorça, Pallars Jussà</t>
        </is>
      </c>
      <c r="E92" s="33" t="inlineStr">
        <is>
          <t>No essencial</t>
        </is>
      </c>
      <c r="F92" s="53" t="n"/>
      <c r="G92" s="33"/>
      <c r="H92" s="54"/>
      <c r="I92" s="53"/>
      <c r="J92" s="55" t="n">
        <v>42.37504</v>
      </c>
      <c r="K92" s="55" t="n">
        <v>0.77513</v>
      </c>
      <c r="L92" s="56" t="inlineStr">
        <is>
          <t>Fitxa ↗</t>
        </is>
      </c>
      <c r="M92" s="56" t="inlineStr">
        <is>
          <t>Mapa ↗</t>
        </is>
      </c>
      <c r="N92" s="33"/>
      <c r="O92" s="53"/>
    </row>
    <row r="93">
      <c r="A93" s="32" t="inlineStr">
        <is>
          <t>Tossal Gros (Serra de Sant Gervàs)</t>
        </is>
      </c>
      <c r="B93" s="52" t="n">
        <v>1546</v>
      </c>
      <c r="C93" s="53" t="inlineStr">
        <is>
          <t>Alta Ribagorça</t>
        </is>
      </c>
      <c r="D93" s="53" t="inlineStr">
        <is>
          <t>Alta Ribagorça, Pallars Jussà</t>
        </is>
      </c>
      <c r="E93" s="33" t="inlineStr">
        <is>
          <t>No essencial</t>
        </is>
      </c>
      <c r="F93" s="53" t="n"/>
      <c r="G93" s="33"/>
      <c r="H93" s="54"/>
      <c r="I93" s="53"/>
      <c r="J93" s="55" t="n">
        <v>42.33308</v>
      </c>
      <c r="K93" s="55" t="n">
        <v>0.7711</v>
      </c>
      <c r="L93" s="56" t="inlineStr">
        <is>
          <t>Fitxa ↗</t>
        </is>
      </c>
      <c r="M93" s="56" t="inlineStr">
        <is>
          <t>Mapa ↗</t>
        </is>
      </c>
      <c r="N93" s="33"/>
      <c r="O93" s="53"/>
    </row>
    <row r="94">
      <c r="A94" s="32" t="inlineStr">
        <is>
          <t>Comapedrosa</t>
        </is>
      </c>
      <c r="B94" s="52" t="n">
        <v>2942</v>
      </c>
      <c r="C94" s="53" t="inlineStr">
        <is>
          <t>Andorra</t>
        </is>
      </c>
      <c r="D94" s="53" t="inlineStr">
        <is>
          <t>Andorra</t>
        </is>
      </c>
      <c r="E94" s="33" t="inlineStr">
        <is>
          <t>Essencial</t>
        </is>
      </c>
      <c r="F94" s="53" t="n"/>
      <c r="G94" s="33"/>
      <c r="H94" s="54"/>
      <c r="I94" s="53"/>
      <c r="J94" s="55" t="n">
        <v>42.59181</v>
      </c>
      <c r="K94" s="55" t="n">
        <v>1.44365</v>
      </c>
      <c r="L94" s="56" t="inlineStr">
        <is>
          <t>Fitxa ↗</t>
        </is>
      </c>
      <c r="M94" s="56" t="inlineStr">
        <is>
          <t>Mapa ↗</t>
        </is>
      </c>
      <c r="N94" s="33"/>
      <c r="O94" s="53"/>
    </row>
    <row r="95">
      <c r="A95" s="32" t="inlineStr">
        <is>
          <t>Roca Entravessada</t>
        </is>
      </c>
      <c r="B95" s="52" t="n">
        <v>2929</v>
      </c>
      <c r="C95" s="53" t="inlineStr">
        <is>
          <t>Andorra</t>
        </is>
      </c>
      <c r="D95" s="53" t="inlineStr">
        <is>
          <t>Andorra, Pallars Sobirà</t>
        </is>
      </c>
      <c r="E95" s="33" t="inlineStr">
        <is>
          <t>No essencial</t>
        </is>
      </c>
      <c r="F95" s="53" t="n"/>
      <c r="G95" s="33"/>
      <c r="H95" s="54"/>
      <c r="I95" s="53"/>
      <c r="J95" s="55" t="n">
        <v>42.5984</v>
      </c>
      <c r="K95" s="55" t="n">
        <v>1.44219</v>
      </c>
      <c r="L95" s="56" t="inlineStr">
        <is>
          <t>Fitxa ↗</t>
        </is>
      </c>
      <c r="M95" s="56" t="inlineStr">
        <is>
          <t>Mapa ↗</t>
        </is>
      </c>
      <c r="N95" s="33"/>
      <c r="O95" s="53"/>
    </row>
    <row r="96">
      <c r="A96" s="32" t="inlineStr">
        <is>
          <t>Pic de l’Estanyó</t>
        </is>
      </c>
      <c r="B96" s="52" t="n">
        <v>2915</v>
      </c>
      <c r="C96" s="53" t="inlineStr">
        <is>
          <t>Andorra</t>
        </is>
      </c>
      <c r="D96" s="53" t="inlineStr">
        <is>
          <t>Andorra</t>
        </is>
      </c>
      <c r="E96" s="33" t="inlineStr">
        <is>
          <t>No essencial</t>
        </is>
      </c>
      <c r="F96" s="53" t="n"/>
      <c r="G96" s="33"/>
      <c r="H96" s="54"/>
      <c r="I96" s="53"/>
      <c r="J96" s="55" t="n">
        <v>42.6087</v>
      </c>
      <c r="K96" s="55" t="n">
        <v>1.59258</v>
      </c>
      <c r="L96" s="56" t="inlineStr">
        <is>
          <t>Fitxa ↗</t>
        </is>
      </c>
      <c r="M96" s="56" t="inlineStr">
        <is>
          <t>Mapa ↗</t>
        </is>
      </c>
      <c r="N96" s="33"/>
      <c r="O96" s="53"/>
    </row>
    <row r="97">
      <c r="A97" s="32" t="inlineStr">
        <is>
          <t>Pic de Medacorba</t>
        </is>
      </c>
      <c r="B97" s="52" t="n">
        <v>2915</v>
      </c>
      <c r="C97" s="53" t="inlineStr">
        <is>
          <t>Andorra</t>
        </is>
      </c>
      <c r="D97" s="53" t="inlineStr">
        <is>
          <t>Andorra, Pallars Sobirà</t>
        </is>
      </c>
      <c r="E97" s="33" t="inlineStr">
        <is>
          <t>No essencial</t>
        </is>
      </c>
      <c r="F97" s="53" t="n"/>
      <c r="G97" s="33"/>
      <c r="H97" s="54"/>
      <c r="I97" s="53"/>
      <c r="J97" s="55" t="n">
        <v>42.60372</v>
      </c>
      <c r="K97" s="55" t="n">
        <v>1.44199</v>
      </c>
      <c r="L97" s="56" t="inlineStr">
        <is>
          <t>Fitxa ↗</t>
        </is>
      </c>
      <c r="M97" s="56" t="inlineStr">
        <is>
          <t>Mapa ↗</t>
        </is>
      </c>
      <c r="N97" s="33"/>
      <c r="O97" s="53"/>
    </row>
    <row r="98">
      <c r="A98" s="32" t="inlineStr">
        <is>
          <t>Pic de la Serrera</t>
        </is>
      </c>
      <c r="B98" s="52" t="n">
        <v>2912</v>
      </c>
      <c r="C98" s="53" t="inlineStr">
        <is>
          <t>Andorra</t>
        </is>
      </c>
      <c r="D98" s="53" t="inlineStr">
        <is>
          <t>Andorra</t>
        </is>
      </c>
      <c r="E98" s="33" t="inlineStr">
        <is>
          <t>Essencial</t>
        </is>
      </c>
      <c r="F98" s="53" t="n"/>
      <c r="G98" s="33"/>
      <c r="H98" s="54"/>
      <c r="I98" s="53"/>
      <c r="J98" s="55" t="n">
        <v>42.62554</v>
      </c>
      <c r="K98" s="55" t="n">
        <v>1.60251</v>
      </c>
      <c r="L98" s="56" t="inlineStr">
        <is>
          <t>Fitxa ↗</t>
        </is>
      </c>
      <c r="M98" s="56" t="inlineStr">
        <is>
          <t>Mapa ↗</t>
        </is>
      </c>
      <c r="N98" s="33"/>
      <c r="O98" s="53"/>
    </row>
    <row r="99">
      <c r="A99" s="32" t="inlineStr">
        <is>
          <t>Tossa Plana de Lles (pic de la Portelleta)</t>
        </is>
      </c>
      <c r="B99" s="52" t="n">
        <v>2905</v>
      </c>
      <c r="C99" s="53" t="inlineStr">
        <is>
          <t>Andorra</t>
        </is>
      </c>
      <c r="D99" s="53" t="inlineStr">
        <is>
          <t>Andorra, Cerdanya</t>
        </is>
      </c>
      <c r="E99" s="33" t="inlineStr">
        <is>
          <t>Essencial</t>
        </is>
      </c>
      <c r="F99" s="53" t="n"/>
      <c r="G99" s="33"/>
      <c r="H99" s="54"/>
      <c r="I99" s="53"/>
      <c r="J99" s="55" t="n">
        <v>42.46821</v>
      </c>
      <c r="K99" s="55" t="n">
        <v>1.65656</v>
      </c>
      <c r="L99" s="56" t="inlineStr">
        <is>
          <t>Fitxa ↗</t>
        </is>
      </c>
      <c r="M99" s="56" t="inlineStr">
        <is>
          <t>Mapa ↗</t>
        </is>
      </c>
      <c r="N99" s="33"/>
      <c r="O99" s="53"/>
    </row>
    <row r="100">
      <c r="A100" s="32" t="inlineStr">
        <is>
          <t>Pic de Font Blanca</t>
        </is>
      </c>
      <c r="B100" s="52" t="n">
        <v>2903</v>
      </c>
      <c r="C100" s="53" t="inlineStr">
        <is>
          <t>Andorra</t>
        </is>
      </c>
      <c r="D100" s="53" t="inlineStr">
        <is>
          <t>Andorra</t>
        </is>
      </c>
      <c r="E100" s="33" t="inlineStr">
        <is>
          <t>No essencial</t>
        </is>
      </c>
      <c r="F100" s="53" t="n"/>
      <c r="G100" s="33"/>
      <c r="H100" s="54"/>
      <c r="I100" s="53"/>
      <c r="J100" s="55" t="n">
        <v>42.64972</v>
      </c>
      <c r="K100" s="55" t="n">
        <v>1.5344</v>
      </c>
      <c r="L100" s="56" t="inlineStr">
        <is>
          <t>Fitxa ↗</t>
        </is>
      </c>
      <c r="M100" s="56" t="inlineStr">
        <is>
          <t>Mapa ↗</t>
        </is>
      </c>
      <c r="N100" s="33"/>
      <c r="O100" s="53"/>
    </row>
    <row r="101">
      <c r="A101" s="32" t="inlineStr">
        <is>
          <t>Pic de Sanfonts</t>
        </is>
      </c>
      <c r="B101" s="52" t="n">
        <v>2889</v>
      </c>
      <c r="C101" s="53" t="inlineStr">
        <is>
          <t>Andorra</t>
        </is>
      </c>
      <c r="D101" s="53" t="inlineStr">
        <is>
          <t>Andorra, Pallars Sobirà</t>
        </is>
      </c>
      <c r="E101" s="33" t="inlineStr">
        <is>
          <t>No essencial</t>
        </is>
      </c>
      <c r="F101" s="53" t="n"/>
      <c r="G101" s="33"/>
      <c r="H101" s="54"/>
      <c r="I101" s="53"/>
      <c r="J101" s="55" t="n">
        <v>42.58747</v>
      </c>
      <c r="K101" s="55" t="n">
        <v>1.42766</v>
      </c>
      <c r="L101" s="56" t="inlineStr">
        <is>
          <t>Fitxa ↗</t>
        </is>
      </c>
      <c r="M101" s="56" t="inlineStr">
        <is>
          <t>Mapa ↗</t>
        </is>
      </c>
      <c r="N101" s="33"/>
      <c r="O101" s="53"/>
    </row>
    <row r="102">
      <c r="A102" s="32" t="inlineStr">
        <is>
          <t>Tristaina</t>
        </is>
      </c>
      <c r="B102" s="52" t="n">
        <v>2878</v>
      </c>
      <c r="C102" s="53" t="inlineStr">
        <is>
          <t>Andorra</t>
        </is>
      </c>
      <c r="D102" s="53" t="inlineStr">
        <is>
          <t>Andorra</t>
        </is>
      </c>
      <c r="E102" s="33" t="inlineStr">
        <is>
          <t>Essencial</t>
        </is>
      </c>
      <c r="F102" s="53" t="n"/>
      <c r="G102" s="33"/>
      <c r="H102" s="54"/>
      <c r="I102" s="53"/>
      <c r="J102" s="55" t="n">
        <v>42.65342</v>
      </c>
      <c r="K102" s="55" t="n">
        <v>1.49344</v>
      </c>
      <c r="L102" s="56" t="inlineStr">
        <is>
          <t>Fitxa ↗</t>
        </is>
      </c>
      <c r="M102" s="56" t="inlineStr">
        <is>
          <t>Mapa ↗</t>
        </is>
      </c>
      <c r="N102" s="33"/>
      <c r="O102" s="53"/>
    </row>
    <row r="103">
      <c r="A103" s="32" t="inlineStr">
        <is>
          <t>Alt del Griu</t>
        </is>
      </c>
      <c r="B103" s="52" t="n">
        <v>2874</v>
      </c>
      <c r="C103" s="53" t="inlineStr">
        <is>
          <t>Andorra</t>
        </is>
      </c>
      <c r="D103" s="53" t="inlineStr">
        <is>
          <t>Andorra</t>
        </is>
      </c>
      <c r="E103" s="33" t="inlineStr">
        <is>
          <t>No essencial</t>
        </is>
      </c>
      <c r="F103" s="53" t="n"/>
      <c r="G103" s="33"/>
      <c r="H103" s="54"/>
      <c r="I103" s="53"/>
      <c r="J103" s="55" t="n">
        <v>42.52514</v>
      </c>
      <c r="K103" s="55" t="n">
        <v>1.65124</v>
      </c>
      <c r="L103" s="56" t="inlineStr">
        <is>
          <t>Fitxa ↗</t>
        </is>
      </c>
      <c r="M103" s="56" t="inlineStr">
        <is>
          <t>Mapa ↗</t>
        </is>
      </c>
      <c r="N103" s="33"/>
      <c r="O103" s="53"/>
    </row>
    <row r="104">
      <c r="A104" s="32" t="inlineStr">
        <is>
          <t>Pic dels Pessons o Gargantillar</t>
        </is>
      </c>
      <c r="B104" s="52" t="n">
        <v>2862</v>
      </c>
      <c r="C104" s="53" t="inlineStr">
        <is>
          <t>Andorra</t>
        </is>
      </c>
      <c r="D104" s="53" t="inlineStr">
        <is>
          <t>Andorra</t>
        </is>
      </c>
      <c r="E104" s="33" t="inlineStr">
        <is>
          <t>No essencial</t>
        </is>
      </c>
      <c r="F104" s="53" t="n"/>
      <c r="G104" s="33"/>
      <c r="H104" s="54"/>
      <c r="I104" s="53"/>
      <c r="J104" s="55" t="n">
        <v>42.50812</v>
      </c>
      <c r="K104" s="55" t="n">
        <v>1.66467</v>
      </c>
      <c r="L104" s="56" t="inlineStr">
        <is>
          <t>Fitxa ↗</t>
        </is>
      </c>
      <c r="M104" s="56" t="inlineStr">
        <is>
          <t>Mapa ↗</t>
        </is>
      </c>
      <c r="N104" s="33"/>
      <c r="O104" s="53"/>
    </row>
    <row r="105">
      <c r="A105" s="32" t="inlineStr">
        <is>
          <t>Pic del Pla de l’Estany</t>
        </is>
      </c>
      <c r="B105" s="52" t="n">
        <v>2860</v>
      </c>
      <c r="C105" s="53" t="inlineStr">
        <is>
          <t>Andorra</t>
        </is>
      </c>
      <c r="D105" s="53" t="inlineStr">
        <is>
          <t>Andorra</t>
        </is>
      </c>
      <c r="E105" s="33" t="inlineStr">
        <is>
          <t>No essencial</t>
        </is>
      </c>
      <c r="F105" s="53" t="n"/>
      <c r="G105" s="33"/>
      <c r="H105" s="54"/>
      <c r="I105" s="53"/>
      <c r="J105" s="55" t="n">
        <v>42.6068</v>
      </c>
      <c r="K105" s="55" t="n">
        <v>1.46403</v>
      </c>
      <c r="L105" s="56" t="inlineStr">
        <is>
          <t>Fitxa ↗</t>
        </is>
      </c>
      <c r="M105" s="56" t="inlineStr">
        <is>
          <t>Mapa ↗</t>
        </is>
      </c>
      <c r="N105" s="33"/>
      <c r="O105" s="53"/>
    </row>
    <row r="106">
      <c r="A106" s="32" t="inlineStr">
        <is>
          <t>Pic Alt del Cubil</t>
        </is>
      </c>
      <c r="B106" s="52" t="n">
        <v>2834</v>
      </c>
      <c r="C106" s="53" t="inlineStr">
        <is>
          <t>Andorra</t>
        </is>
      </c>
      <c r="D106" s="53" t="inlineStr">
        <is>
          <t>Andorra</t>
        </is>
      </c>
      <c r="E106" s="33" t="inlineStr">
        <is>
          <t>No essencial</t>
        </is>
      </c>
      <c r="F106" s="53" t="n"/>
      <c r="G106" s="33"/>
      <c r="H106" s="54"/>
      <c r="I106" s="53"/>
      <c r="J106" s="55" t="n">
        <v>42.52778</v>
      </c>
      <c r="K106" s="55" t="n">
        <v>1.67018</v>
      </c>
      <c r="L106" s="56" t="inlineStr">
        <is>
          <t>Fitxa ↗</t>
        </is>
      </c>
      <c r="M106" s="56" t="inlineStr">
        <is>
          <t>Mapa ↗</t>
        </is>
      </c>
      <c r="N106" s="33"/>
      <c r="O106" s="53"/>
    </row>
    <row r="107">
      <c r="A107" s="32" t="inlineStr">
        <is>
          <t>Pic Negre d’Envalira</t>
        </is>
      </c>
      <c r="B107" s="52" t="n">
        <v>2822</v>
      </c>
      <c r="C107" s="53" t="inlineStr">
        <is>
          <t>Andorra</t>
        </is>
      </c>
      <c r="D107" s="53" t="inlineStr">
        <is>
          <t>Andorra, Cerdanya Nord</t>
        </is>
      </c>
      <c r="E107" s="33" t="inlineStr">
        <is>
          <t>Essencial</t>
        </is>
      </c>
      <c r="F107" s="53" t="n"/>
      <c r="G107" s="33"/>
      <c r="H107" s="54"/>
      <c r="I107" s="53"/>
      <c r="J107" s="55" t="n">
        <v>42.51725</v>
      </c>
      <c r="K107" s="55" t="n">
        <v>1.72144</v>
      </c>
      <c r="L107" s="56" t="inlineStr">
        <is>
          <t>Fitxa ↗</t>
        </is>
      </c>
      <c r="M107" s="56" t="inlineStr">
        <is>
          <t>Mapa ↗</t>
        </is>
      </c>
      <c r="N107" s="33"/>
      <c r="O107" s="53"/>
    </row>
    <row r="108">
      <c r="A108" s="32" t="inlineStr">
        <is>
          <t>Roc Melé</t>
        </is>
      </c>
      <c r="B108" s="52" t="n">
        <v>2811</v>
      </c>
      <c r="C108" s="53" t="inlineStr">
        <is>
          <t>Andorra</t>
        </is>
      </c>
      <c r="D108" s="53" t="inlineStr">
        <is>
          <t>Andorra</t>
        </is>
      </c>
      <c r="E108" s="33" t="inlineStr">
        <is>
          <t>No essencial</t>
        </is>
      </c>
      <c r="F108" s="53" t="n"/>
      <c r="G108" s="33"/>
      <c r="H108" s="54"/>
      <c r="I108" s="53"/>
      <c r="J108" s="55" t="n">
        <v>42.58779</v>
      </c>
      <c r="K108" s="55" t="n">
        <v>1.74182</v>
      </c>
      <c r="L108" s="56" t="inlineStr">
        <is>
          <t>Fitxa ↗</t>
        </is>
      </c>
      <c r="M108" s="56" t="inlineStr">
        <is>
          <t>Mapa ↗</t>
        </is>
      </c>
      <c r="N108" s="33"/>
      <c r="O108" s="53"/>
    </row>
    <row r="109">
      <c r="A109" s="32" t="inlineStr">
        <is>
          <t>Pic de Cataperdís</t>
        </is>
      </c>
      <c r="B109" s="52" t="n">
        <v>2805</v>
      </c>
      <c r="C109" s="53" t="inlineStr">
        <is>
          <t>Andorra</t>
        </is>
      </c>
      <c r="D109" s="53" t="inlineStr">
        <is>
          <t>Andorra</t>
        </is>
      </c>
      <c r="E109" s="33" t="inlineStr">
        <is>
          <t>No essencial</t>
        </is>
      </c>
      <c r="F109" s="53" t="n"/>
      <c r="G109" s="33"/>
      <c r="H109" s="54"/>
      <c r="I109" s="53"/>
      <c r="J109" s="55" t="n">
        <v>42.61482</v>
      </c>
      <c r="K109" s="55" t="n">
        <v>1.47743</v>
      </c>
      <c r="L109" s="56" t="inlineStr">
        <is>
          <t>Fitxa ↗</t>
        </is>
      </c>
      <c r="M109" s="56" t="inlineStr">
        <is>
          <t>Mapa ↗</t>
        </is>
      </c>
      <c r="N109" s="33"/>
      <c r="O109" s="53"/>
    </row>
    <row r="110">
      <c r="A110" s="32" t="inlineStr">
        <is>
          <t>Montmalús</t>
        </is>
      </c>
      <c r="B110" s="52" t="n">
        <v>2781</v>
      </c>
      <c r="C110" s="53" t="inlineStr">
        <is>
          <t>Andorra</t>
        </is>
      </c>
      <c r="D110" s="53" t="inlineStr">
        <is>
          <t>Andorra</t>
        </is>
      </c>
      <c r="E110" s="33" t="inlineStr">
        <is>
          <t>No essencial</t>
        </is>
      </c>
      <c r="F110" s="53" t="n"/>
      <c r="G110" s="33"/>
      <c r="H110" s="54"/>
      <c r="I110" s="53"/>
      <c r="J110" s="55" t="n">
        <v>42.50893</v>
      </c>
      <c r="K110" s="55" t="n">
        <v>1.68657</v>
      </c>
      <c r="L110" s="56" t="inlineStr">
        <is>
          <t>Fitxa ↗</t>
        </is>
      </c>
      <c r="M110" s="56" t="inlineStr">
        <is>
          <t>Mapa ↗</t>
        </is>
      </c>
      <c r="N110" s="33"/>
      <c r="O110" s="53"/>
    </row>
    <row r="111">
      <c r="A111" s="32" t="inlineStr">
        <is>
          <t>Pic d’Escobes</t>
        </is>
      </c>
      <c r="B111" s="52" t="n">
        <v>2780</v>
      </c>
      <c r="C111" s="53" t="inlineStr">
        <is>
          <t>Andorra</t>
        </is>
      </c>
      <c r="D111" s="53" t="inlineStr">
        <is>
          <t>Andorra</t>
        </is>
      </c>
      <c r="E111" s="33" t="inlineStr">
        <is>
          <t>No essencial</t>
        </is>
      </c>
      <c r="F111" s="53" t="n"/>
      <c r="G111" s="33"/>
      <c r="H111" s="54"/>
      <c r="I111" s="53"/>
      <c r="J111" s="55" t="n">
        <v>42.60918</v>
      </c>
      <c r="K111" s="55" t="n">
        <v>1.73563</v>
      </c>
      <c r="L111" s="56" t="inlineStr">
        <is>
          <t>Fitxa ↗</t>
        </is>
      </c>
      <c r="M111" s="56" t="inlineStr">
        <is>
          <t>Mapa ↗</t>
        </is>
      </c>
      <c r="N111" s="33"/>
      <c r="O111" s="53"/>
    </row>
    <row r="112">
      <c r="A112" s="32" t="inlineStr">
        <is>
          <t>Pic de la Coma de Varilles</t>
        </is>
      </c>
      <c r="B112" s="52" t="n">
        <v>2760</v>
      </c>
      <c r="C112" s="53" t="inlineStr">
        <is>
          <t>Andorra</t>
        </is>
      </c>
      <c r="D112" s="53" t="inlineStr">
        <is>
          <t>Andorra</t>
        </is>
      </c>
      <c r="E112" s="33" t="inlineStr">
        <is>
          <t>No essencial</t>
        </is>
      </c>
      <c r="F112" s="53" t="n"/>
      <c r="G112" s="33"/>
      <c r="H112" s="54"/>
      <c r="I112" s="53"/>
      <c r="J112" s="55" t="n">
        <v>42.61916</v>
      </c>
      <c r="K112" s="55" t="n">
        <v>1.6643</v>
      </c>
      <c r="L112" s="56" t="inlineStr">
        <is>
          <t>Fitxa ↗</t>
        </is>
      </c>
      <c r="M112" s="56" t="inlineStr">
        <is>
          <t>Mapa ↗</t>
        </is>
      </c>
      <c r="N112" s="33"/>
      <c r="O112" s="53"/>
    </row>
    <row r="113">
      <c r="A113" s="32" t="inlineStr">
        <is>
          <t>Tossal de la Truita (Pic de Perafita)</t>
        </is>
      </c>
      <c r="B113" s="52" t="n">
        <v>2753</v>
      </c>
      <c r="C113" s="53" t="inlineStr">
        <is>
          <t>Andorra</t>
        </is>
      </c>
      <c r="D113" s="53" t="inlineStr">
        <is>
          <t>Andorra, Cerdanya</t>
        </is>
      </c>
      <c r="E113" s="33" t="inlineStr">
        <is>
          <t>No essencial</t>
        </is>
      </c>
      <c r="F113" s="53" t="n"/>
      <c r="G113" s="33"/>
      <c r="H113" s="54"/>
      <c r="I113" s="53"/>
      <c r="J113" s="55" t="n">
        <v>42.4592</v>
      </c>
      <c r="K113" s="55" t="n">
        <v>1.5855</v>
      </c>
      <c r="L113" s="56" t="inlineStr">
        <is>
          <t>Fitxa ↗</t>
        </is>
      </c>
      <c r="M113" s="56" t="inlineStr">
        <is>
          <t>Mapa ↗</t>
        </is>
      </c>
      <c r="N113" s="33"/>
      <c r="O113" s="53"/>
    </row>
    <row r="114">
      <c r="A114" s="32" t="inlineStr">
        <is>
          <t>Casamanya Nord</t>
        </is>
      </c>
      <c r="B114" s="52" t="n">
        <v>2750</v>
      </c>
      <c r="C114" s="53" t="inlineStr">
        <is>
          <t>Andorra</t>
        </is>
      </c>
      <c r="D114" s="53" t="inlineStr">
        <is>
          <t>Andorra</t>
        </is>
      </c>
      <c r="E114" s="33" t="inlineStr">
        <is>
          <t>Essencial</t>
        </is>
      </c>
      <c r="F114" s="53" t="n"/>
      <c r="G114" s="33"/>
      <c r="H114" s="54"/>
      <c r="I114" s="53"/>
      <c r="J114" s="55" t="n">
        <v>42.58734</v>
      </c>
      <c r="K114" s="55" t="n">
        <v>1.5703</v>
      </c>
      <c r="L114" s="56" t="inlineStr">
        <is>
          <t>Fitxa ↗</t>
        </is>
      </c>
      <c r="M114" s="56" t="inlineStr">
        <is>
          <t>Mapa ↗</t>
        </is>
      </c>
      <c r="N114" s="33"/>
      <c r="O114" s="53"/>
    </row>
    <row r="115">
      <c r="A115" s="32" t="inlineStr">
        <is>
          <t>Pic de Cabanyó</t>
        </is>
      </c>
      <c r="B115" s="52" t="n">
        <v>2732</v>
      </c>
      <c r="C115" s="53" t="inlineStr">
        <is>
          <t>Andorra</t>
        </is>
      </c>
      <c r="D115" s="53" t="inlineStr">
        <is>
          <t>Andorra</t>
        </is>
      </c>
      <c r="E115" s="33" t="inlineStr">
        <is>
          <t>No essencial</t>
        </is>
      </c>
      <c r="F115" s="53" t="n"/>
      <c r="G115" s="33"/>
      <c r="H115" s="54"/>
      <c r="I115" s="53"/>
      <c r="J115" s="55" t="n">
        <v>42.6309</v>
      </c>
      <c r="K115" s="55" t="n">
        <v>1.46802</v>
      </c>
      <c r="L115" s="56" t="inlineStr">
        <is>
          <t>Fitxa ↗</t>
        </is>
      </c>
      <c r="M115" s="56" t="inlineStr">
        <is>
          <t>Mapa ↗</t>
        </is>
      </c>
      <c r="N115" s="33"/>
      <c r="O115" s="53"/>
    </row>
    <row r="116">
      <c r="A116" s="32" t="inlineStr">
        <is>
          <t>Tossa del Braibal</t>
        </is>
      </c>
      <c r="B116" s="52" t="n">
        <v>2657</v>
      </c>
      <c r="C116" s="53" t="inlineStr">
        <is>
          <t>Andorra</t>
        </is>
      </c>
      <c r="D116" s="53" t="inlineStr">
        <is>
          <t>Andorra</t>
        </is>
      </c>
      <c r="E116" s="33" t="inlineStr">
        <is>
          <t>No essencial</t>
        </is>
      </c>
      <c r="F116" s="53" t="n"/>
      <c r="G116" s="33"/>
      <c r="H116" s="54"/>
      <c r="I116" s="53"/>
      <c r="J116" s="55" t="n">
        <v>42.50297</v>
      </c>
      <c r="K116" s="55" t="n">
        <v>1.5985</v>
      </c>
      <c r="L116" s="56" t="inlineStr">
        <is>
          <t>Fitxa ↗</t>
        </is>
      </c>
      <c r="M116" s="56" t="inlineStr">
        <is>
          <t>Mapa ↗</t>
        </is>
      </c>
      <c r="N116" s="33"/>
      <c r="O116" s="53"/>
    </row>
    <row r="117">
      <c r="A117" s="32" t="inlineStr">
        <is>
          <t>Alt de Juclar</t>
        </is>
      </c>
      <c r="B117" s="52" t="n">
        <v>2588</v>
      </c>
      <c r="C117" s="53" t="inlineStr">
        <is>
          <t>Andorra</t>
        </is>
      </c>
      <c r="D117" s="53" t="inlineStr">
        <is>
          <t>Andorra</t>
        </is>
      </c>
      <c r="E117" s="33" t="inlineStr">
        <is>
          <t>No essencial</t>
        </is>
      </c>
      <c r="F117" s="53" t="n"/>
      <c r="G117" s="33"/>
      <c r="H117" s="54"/>
      <c r="I117" s="53"/>
      <c r="J117" s="55" t="n">
        <v>42.6117</v>
      </c>
      <c r="K117" s="55" t="n">
        <v>1.70959</v>
      </c>
      <c r="L117" s="56" t="inlineStr">
        <is>
          <t>Fitxa ↗</t>
        </is>
      </c>
      <c r="M117" s="56" t="inlineStr">
        <is>
          <t>Mapa ↗</t>
        </is>
      </c>
      <c r="N117" s="33"/>
      <c r="O117" s="53"/>
    </row>
    <row r="118">
      <c r="A118" s="32" t="inlineStr">
        <is>
          <t>Alt de la Capa</t>
        </is>
      </c>
      <c r="B118" s="52" t="n">
        <v>2573</v>
      </c>
      <c r="C118" s="53" t="inlineStr">
        <is>
          <t>Andorra</t>
        </is>
      </c>
      <c r="D118" s="53" t="inlineStr">
        <is>
          <t>Andorra</t>
        </is>
      </c>
      <c r="E118" s="33" t="inlineStr">
        <is>
          <t>No essencial</t>
        </is>
      </c>
      <c r="F118" s="53" t="n"/>
      <c r="G118" s="33"/>
      <c r="H118" s="54"/>
      <c r="I118" s="53"/>
      <c r="J118" s="55" t="n">
        <v>42.56297</v>
      </c>
      <c r="K118" s="55" t="n">
        <v>1.45419</v>
      </c>
      <c r="L118" s="56" t="inlineStr">
        <is>
          <t>Fitxa ↗</t>
        </is>
      </c>
      <c r="M118" s="56" t="inlineStr">
        <is>
          <t>Mapa ↗</t>
        </is>
      </c>
      <c r="N118" s="33"/>
      <c r="O118" s="53"/>
    </row>
    <row r="119">
      <c r="A119" s="32" t="inlineStr">
        <is>
          <t>Sant Jeroni</t>
        </is>
      </c>
      <c r="B119" s="52" t="n">
        <v>1236</v>
      </c>
      <c r="C119" s="53" t="inlineStr">
        <is>
          <t>Anoia</t>
        </is>
      </c>
      <c r="D119" s="53" t="inlineStr">
        <is>
          <t>Anoia, Bages</t>
        </is>
      </c>
      <c r="E119" s="33" t="inlineStr">
        <is>
          <t>Essencial</t>
        </is>
      </c>
      <c r="F119" s="53" t="inlineStr">
        <is>
          <t>Bages · Anoia</t>
        </is>
      </c>
      <c r="G119" s="33"/>
      <c r="H119" s="54"/>
      <c r="I119" s="53"/>
      <c r="J119" s="55" t="n">
        <v>41.60538</v>
      </c>
      <c r="K119" s="55" t="n">
        <v>1.8115</v>
      </c>
      <c r="L119" s="56" t="inlineStr">
        <is>
          <t>Fitxa ↗</t>
        </is>
      </c>
      <c r="M119" s="56" t="inlineStr">
        <is>
          <t>Mapa ↗</t>
        </is>
      </c>
      <c r="N119" s="33"/>
      <c r="O119" s="53"/>
    </row>
    <row r="120">
      <c r="A120" s="32" t="inlineStr">
        <is>
          <t>Miranda dels Ecos</t>
        </is>
      </c>
      <c r="B120" s="52" t="n">
        <v>1223</v>
      </c>
      <c r="C120" s="53" t="inlineStr">
        <is>
          <t>Anoia</t>
        </is>
      </c>
      <c r="D120" s="53" t="inlineStr">
        <is>
          <t>Anoia</t>
        </is>
      </c>
      <c r="E120" s="33" t="inlineStr">
        <is>
          <t>No essencial</t>
        </is>
      </c>
      <c r="F120" s="53" t="n"/>
      <c r="G120" s="33"/>
      <c r="H120" s="54"/>
      <c r="I120" s="53"/>
      <c r="J120" s="55" t="n">
        <v>41.60441</v>
      </c>
      <c r="K120" s="55" t="n">
        <v>1.80621</v>
      </c>
      <c r="L120" s="56" t="inlineStr">
        <is>
          <t>Fitxa ↗</t>
        </is>
      </c>
      <c r="M120" s="56" t="inlineStr">
        <is>
          <t>Mapa ↗</t>
        </is>
      </c>
      <c r="N120" s="33"/>
      <c r="O120" s="53"/>
    </row>
    <row r="121">
      <c r="A121" s="32" t="inlineStr">
        <is>
          <t>Montgròs</t>
        </is>
      </c>
      <c r="B121" s="52" t="n">
        <v>1133</v>
      </c>
      <c r="C121" s="53" t="inlineStr">
        <is>
          <t>Anoia</t>
        </is>
      </c>
      <c r="D121" s="53" t="inlineStr">
        <is>
          <t>Anoia</t>
        </is>
      </c>
      <c r="E121" s="33" t="inlineStr">
        <is>
          <t>Essencial</t>
        </is>
      </c>
      <c r="F121" s="53" t="n"/>
      <c r="G121" s="33"/>
      <c r="H121" s="54"/>
      <c r="I121" s="53"/>
      <c r="J121" s="55" t="n">
        <v>41.59999</v>
      </c>
      <c r="K121" s="55" t="n">
        <v>1.80509</v>
      </c>
      <c r="L121" s="56" t="inlineStr">
        <is>
          <t>Fitxa ↗</t>
        </is>
      </c>
      <c r="M121" s="56" t="inlineStr">
        <is>
          <t>Mapa ↗</t>
        </is>
      </c>
      <c r="N121" s="33"/>
      <c r="O121" s="53"/>
    </row>
    <row r="122">
      <c r="A122" s="32" t="inlineStr">
        <is>
          <t>Miranda del Príncep</t>
        </is>
      </c>
      <c r="B122" s="52" t="n">
        <v>993</v>
      </c>
      <c r="C122" s="53" t="inlineStr">
        <is>
          <t>Anoia</t>
        </is>
      </c>
      <c r="D122" s="53" t="inlineStr">
        <is>
          <t>Anoia</t>
        </is>
      </c>
      <c r="E122" s="33" t="inlineStr">
        <is>
          <t>No essencial</t>
        </is>
      </c>
      <c r="F122" s="53" t="n"/>
      <c r="G122" s="33"/>
      <c r="H122" s="54"/>
      <c r="I122" s="53"/>
      <c r="J122" s="55" t="n">
        <v>41.6049</v>
      </c>
      <c r="K122" s="55" t="n">
        <v>1.79278</v>
      </c>
      <c r="L122" s="56" t="inlineStr">
        <is>
          <t>Fitxa ↗</t>
        </is>
      </c>
      <c r="M122" s="56" t="inlineStr">
        <is>
          <t>Mapa ↗</t>
        </is>
      </c>
      <c r="N122" s="33"/>
      <c r="O122" s="53"/>
    </row>
    <row r="123">
      <c r="A123" s="32" t="inlineStr">
        <is>
          <t>El Castellar (serra d’Ancosa)</t>
        </is>
      </c>
      <c r="B123" s="52" t="n">
        <v>943</v>
      </c>
      <c r="C123" s="53" t="inlineStr">
        <is>
          <t>Anoia</t>
        </is>
      </c>
      <c r="D123" s="53" t="inlineStr">
        <is>
          <t>Anoia</t>
        </is>
      </c>
      <c r="E123" s="33" t="inlineStr">
        <is>
          <t>No essencial</t>
        </is>
      </c>
      <c r="F123" s="53" t="n"/>
      <c r="G123" s="33"/>
      <c r="H123" s="54"/>
      <c r="I123" s="53"/>
      <c r="J123" s="55" t="n">
        <v>41.44833</v>
      </c>
      <c r="K123" s="55" t="n">
        <v>1.51648</v>
      </c>
      <c r="L123" s="56" t="inlineStr">
        <is>
          <t>Fitxa ↗</t>
        </is>
      </c>
      <c r="M123" s="56" t="inlineStr">
        <is>
          <t>Mapa ↗</t>
        </is>
      </c>
      <c r="N123" s="33"/>
      <c r="O123" s="53"/>
    </row>
    <row r="124">
      <c r="A124" s="32" t="inlineStr">
        <is>
          <t>Grony de Miralles</t>
        </is>
      </c>
      <c r="B124" s="52" t="n">
        <v>866</v>
      </c>
      <c r="C124" s="53" t="inlineStr">
        <is>
          <t>Anoia</t>
        </is>
      </c>
      <c r="D124" s="53" t="inlineStr">
        <is>
          <t>Anoia</t>
        </is>
      </c>
      <c r="E124" s="33" t="inlineStr">
        <is>
          <t>No essencial</t>
        </is>
      </c>
      <c r="F124" s="53" t="n"/>
      <c r="G124" s="33"/>
      <c r="H124" s="54"/>
      <c r="I124" s="53"/>
      <c r="J124" s="55" t="n">
        <v>41.5167</v>
      </c>
      <c r="K124" s="55" t="n">
        <v>1.49218</v>
      </c>
      <c r="L124" s="56" t="inlineStr">
        <is>
          <t>Fitxa ↗</t>
        </is>
      </c>
      <c r="M124" s="56" t="inlineStr">
        <is>
          <t>Mapa ↗</t>
        </is>
      </c>
      <c r="N124" s="33"/>
      <c r="O124" s="53"/>
    </row>
    <row r="125">
      <c r="A125" s="32" t="inlineStr">
        <is>
          <t>Castell de Boixadors</t>
        </is>
      </c>
      <c r="B125" s="52" t="n">
        <v>848</v>
      </c>
      <c r="C125" s="53" t="inlineStr">
        <is>
          <t>Anoia</t>
        </is>
      </c>
      <c r="D125" s="53" t="inlineStr">
        <is>
          <t>Anoia</t>
        </is>
      </c>
      <c r="E125" s="33" t="inlineStr">
        <is>
          <t>No essencial</t>
        </is>
      </c>
      <c r="F125" s="53" t="n"/>
      <c r="G125" s="33"/>
      <c r="H125" s="54"/>
      <c r="I125" s="53"/>
      <c r="J125" s="55" t="n">
        <v>41.77064</v>
      </c>
      <c r="K125" s="55" t="n">
        <v>1.57478</v>
      </c>
      <c r="L125" s="56" t="inlineStr">
        <is>
          <t>Fitxa ↗</t>
        </is>
      </c>
      <c r="M125" s="56" t="inlineStr">
        <is>
          <t>Mapa ↗</t>
        </is>
      </c>
      <c r="N125" s="33"/>
      <c r="O125" s="53"/>
    </row>
    <row r="126">
      <c r="A126" s="32" t="inlineStr">
        <is>
          <t>Torre Alta (Castell Ferran)</t>
        </is>
      </c>
      <c r="B126" s="52" t="n">
        <v>842</v>
      </c>
      <c r="C126" s="53" t="inlineStr">
        <is>
          <t>Anoia</t>
        </is>
      </c>
      <c r="D126" s="53" t="inlineStr">
        <is>
          <t>Anoia</t>
        </is>
      </c>
      <c r="E126" s="33" t="inlineStr">
        <is>
          <t>No essencial</t>
        </is>
      </c>
      <c r="F126" s="53" t="n"/>
      <c r="G126" s="33"/>
      <c r="H126" s="54"/>
      <c r="I126" s="53"/>
      <c r="J126" s="55" t="n">
        <v>41.61121</v>
      </c>
      <c r="K126" s="55" t="n">
        <v>1.76328</v>
      </c>
      <c r="L126" s="56" t="inlineStr">
        <is>
          <t>Fitxa ↗</t>
        </is>
      </c>
      <c r="M126" s="56" t="inlineStr">
        <is>
          <t>Mapa ↗</t>
        </is>
      </c>
      <c r="N126" s="33"/>
      <c r="O126" s="53"/>
    </row>
    <row r="127">
      <c r="A127" s="32" t="inlineStr">
        <is>
          <t>Puig de Sant Miquel</t>
        </is>
      </c>
      <c r="B127" s="52" t="n">
        <v>733</v>
      </c>
      <c r="C127" s="53" t="inlineStr">
        <is>
          <t>Anoia</t>
        </is>
      </c>
      <c r="D127" s="53" t="inlineStr">
        <is>
          <t>Anoia</t>
        </is>
      </c>
      <c r="E127" s="33" t="inlineStr">
        <is>
          <t>Essencial</t>
        </is>
      </c>
      <c r="F127" s="53" t="n"/>
      <c r="G127" s="33"/>
      <c r="H127" s="54"/>
      <c r="I127" s="53"/>
      <c r="J127" s="55" t="n">
        <v>41.63724</v>
      </c>
      <c r="K127" s="55" t="n">
        <v>1.58098</v>
      </c>
      <c r="L127" s="56" t="inlineStr">
        <is>
          <t>Fitxa ↗</t>
        </is>
      </c>
      <c r="M127" s="56" t="inlineStr">
        <is>
          <t>Mapa ↗</t>
        </is>
      </c>
      <c r="N127" s="33"/>
      <c r="O127" s="53"/>
    </row>
    <row r="128">
      <c r="A128" s="32" t="inlineStr">
        <is>
          <t>Puig d’Aguilera</t>
        </is>
      </c>
      <c r="B128" s="52" t="n">
        <v>626</v>
      </c>
      <c r="C128" s="53" t="inlineStr">
        <is>
          <t>Anoia</t>
        </is>
      </c>
      <c r="D128" s="53" t="inlineStr">
        <is>
          <t>Anoia</t>
        </is>
      </c>
      <c r="E128" s="33" t="inlineStr">
        <is>
          <t>No essencial</t>
        </is>
      </c>
      <c r="F128" s="53" t="n"/>
      <c r="G128" s="33"/>
      <c r="H128" s="54"/>
      <c r="I128" s="53"/>
      <c r="J128" s="55" t="n">
        <v>41.60479</v>
      </c>
      <c r="K128" s="55" t="n">
        <v>1.67081</v>
      </c>
      <c r="L128" s="56" t="inlineStr">
        <is>
          <t>Fitxa ↗</t>
        </is>
      </c>
      <c r="M128" s="56" t="inlineStr">
        <is>
          <t>Mapa ↗</t>
        </is>
      </c>
      <c r="N128" s="33"/>
      <c r="O128" s="53"/>
    </row>
    <row r="129">
      <c r="A129" s="32" t="inlineStr">
        <is>
          <t>Turó de Can Dolcet</t>
        </is>
      </c>
      <c r="B129" s="52" t="n">
        <v>416</v>
      </c>
      <c r="C129" s="53" t="inlineStr">
        <is>
          <t>Anoia</t>
        </is>
      </c>
      <c r="D129" s="53" t="inlineStr">
        <is>
          <t>Anoia, Baix Llobregat</t>
        </is>
      </c>
      <c r="E129" s="33" t="inlineStr">
        <is>
          <t>No essencial</t>
        </is>
      </c>
      <c r="F129" s="53" t="n"/>
      <c r="G129" s="33"/>
      <c r="H129" s="54"/>
      <c r="I129" s="53"/>
      <c r="J129" s="55" t="n">
        <v>41.55541</v>
      </c>
      <c r="K129" s="55" t="n">
        <v>1.8158</v>
      </c>
      <c r="L129" s="56" t="inlineStr">
        <is>
          <t>Fitxa ↗</t>
        </is>
      </c>
      <c r="M129" s="56" t="inlineStr">
        <is>
          <t>Mapa ↗</t>
        </is>
      </c>
      <c r="N129" s="33"/>
      <c r="O129" s="53"/>
    </row>
    <row r="130">
      <c r="A130" s="32" t="inlineStr">
        <is>
          <t>Roca de Sant Salvador (l’Elefant)</t>
        </is>
      </c>
      <c r="B130" s="52" t="n">
        <v>1156</v>
      </c>
      <c r="C130" s="53" t="inlineStr">
        <is>
          <t>Bages</t>
        </is>
      </c>
      <c r="D130" s="53" t="inlineStr">
        <is>
          <t>Bages</t>
        </is>
      </c>
      <c r="E130" s="33" t="inlineStr">
        <is>
          <t>Essencial</t>
        </is>
      </c>
      <c r="F130" s="53" t="n"/>
      <c r="G130" s="33"/>
      <c r="H130" s="54"/>
      <c r="I130" s="53"/>
      <c r="J130" s="55" t="n">
        <v>41.59578</v>
      </c>
      <c r="K130" s="55" t="n">
        <v>1.82974</v>
      </c>
      <c r="L130" s="56" t="inlineStr">
        <is>
          <t>Fitxa ↗</t>
        </is>
      </c>
      <c r="M130" s="56" t="inlineStr">
        <is>
          <t>Mapa ↗</t>
        </is>
      </c>
      <c r="N130" s="33"/>
      <c r="O130" s="53"/>
    </row>
    <row r="131">
      <c r="A131" s="32" t="inlineStr">
        <is>
          <t>Montcau</t>
        </is>
      </c>
      <c r="B131" s="52" t="n">
        <v>1057</v>
      </c>
      <c r="C131" s="53" t="inlineStr">
        <is>
          <t>Bages</t>
        </is>
      </c>
      <c r="D131" s="53" t="inlineStr">
        <is>
          <t>Bages, Vallès Occidental</t>
        </is>
      </c>
      <c r="E131" s="33" t="inlineStr">
        <is>
          <t>Essencial</t>
        </is>
      </c>
      <c r="F131" s="53" t="n"/>
      <c r="G131" s="33"/>
      <c r="H131" s="54"/>
      <c r="I131" s="53"/>
      <c r="J131" s="55" t="n">
        <v>41.67504</v>
      </c>
      <c r="K131" s="55" t="n">
        <v>2.00463</v>
      </c>
      <c r="L131" s="56" t="inlineStr">
        <is>
          <t>Fitxa ↗</t>
        </is>
      </c>
      <c r="M131" s="56" t="inlineStr">
        <is>
          <t>Mapa ↗</t>
        </is>
      </c>
      <c r="N131" s="33"/>
      <c r="O131" s="53"/>
    </row>
    <row r="132">
      <c r="A132" s="32" t="inlineStr">
        <is>
          <t>Turó de la Pola (o de les Tres Creus)</t>
        </is>
      </c>
      <c r="B132" s="52" t="n">
        <v>930</v>
      </c>
      <c r="C132" s="53" t="inlineStr">
        <is>
          <t>Bages</t>
        </is>
      </c>
      <c r="D132" s="53" t="inlineStr">
        <is>
          <t>Bages</t>
        </is>
      </c>
      <c r="E132" s="33" t="inlineStr">
        <is>
          <t>No essencial</t>
        </is>
      </c>
      <c r="F132" s="53" t="n"/>
      <c r="G132" s="33"/>
      <c r="H132" s="54"/>
      <c r="I132" s="53"/>
      <c r="J132" s="55" t="n">
        <v>41.64995</v>
      </c>
      <c r="K132" s="55" t="n">
        <v>1.9697</v>
      </c>
      <c r="L132" s="56" t="inlineStr">
        <is>
          <t>Fitxa ↗</t>
        </is>
      </c>
      <c r="M132" s="56" t="inlineStr">
        <is>
          <t>Mapa ↗</t>
        </is>
      </c>
      <c r="N132" s="33"/>
      <c r="O132" s="53"/>
    </row>
    <row r="133">
      <c r="A133" s="32" t="inlineStr">
        <is>
          <t>Cogulló de Cal Torre</t>
        </is>
      </c>
      <c r="B133" s="52" t="n">
        <v>881</v>
      </c>
      <c r="C133" s="53" t="inlineStr">
        <is>
          <t>Bages</t>
        </is>
      </c>
      <c r="D133" s="53" t="inlineStr">
        <is>
          <t>Bages</t>
        </is>
      </c>
      <c r="E133" s="33" t="inlineStr">
        <is>
          <t>No essencial</t>
        </is>
      </c>
      <c r="F133" s="53" t="n"/>
      <c r="G133" s="33"/>
      <c r="H133" s="54"/>
      <c r="I133" s="53"/>
      <c r="J133" s="55" t="n">
        <v>41.68747</v>
      </c>
      <c r="K133" s="55" t="n">
        <v>1.68642</v>
      </c>
      <c r="L133" s="56" t="inlineStr">
        <is>
          <t>Fitxa ↗</t>
        </is>
      </c>
      <c r="M133" s="56" t="inlineStr">
        <is>
          <t>Mapa ↗</t>
        </is>
      </c>
      <c r="N133" s="33"/>
      <c r="O133" s="53"/>
    </row>
    <row r="134">
      <c r="A134" s="32" t="inlineStr">
        <is>
          <t>Roca Sareny</t>
        </is>
      </c>
      <c r="B134" s="52" t="n">
        <v>804</v>
      </c>
      <c r="C134" s="53" t="inlineStr">
        <is>
          <t>Bages</t>
        </is>
      </c>
      <c r="D134" s="53" t="inlineStr">
        <is>
          <t>Bages, Vallès Occidental</t>
        </is>
      </c>
      <c r="E134" s="33" t="inlineStr">
        <is>
          <t>No essencial</t>
        </is>
      </c>
      <c r="F134" s="53" t="n"/>
      <c r="G134" s="33"/>
      <c r="H134" s="54"/>
      <c r="I134" s="53"/>
      <c r="J134" s="55" t="n">
        <v>41.6945</v>
      </c>
      <c r="K134" s="55" t="n">
        <v>2.01789</v>
      </c>
      <c r="L134" s="56" t="inlineStr">
        <is>
          <t>Fitxa ↗</t>
        </is>
      </c>
      <c r="M134" s="56" t="inlineStr">
        <is>
          <t>Mapa ↗</t>
        </is>
      </c>
      <c r="N134" s="33"/>
      <c r="O134" s="53"/>
    </row>
    <row r="135">
      <c r="A135" s="32" t="inlineStr">
        <is>
          <t>Pujol de la Mata</t>
        </is>
      </c>
      <c r="B135" s="52" t="n">
        <v>770</v>
      </c>
      <c r="C135" s="53" t="inlineStr">
        <is>
          <t>Bages</t>
        </is>
      </c>
      <c r="D135" s="53" t="inlineStr">
        <is>
          <t>Bages</t>
        </is>
      </c>
      <c r="E135" s="33" t="inlineStr">
        <is>
          <t>No essencial</t>
        </is>
      </c>
      <c r="F135" s="53" t="n"/>
      <c r="G135" s="33"/>
      <c r="H135" s="54"/>
      <c r="I135" s="53"/>
      <c r="J135" s="55" t="n">
        <v>41.68215</v>
      </c>
      <c r="K135" s="55" t="n">
        <v>1.98443</v>
      </c>
      <c r="L135" s="56" t="inlineStr">
        <is>
          <t>Fitxa ↗</t>
        </is>
      </c>
      <c r="M135" s="56" t="inlineStr">
        <is>
          <t>Mapa ↗</t>
        </is>
      </c>
      <c r="N135" s="33"/>
      <c r="O135" s="53"/>
    </row>
    <row r="136">
      <c r="A136" s="32" t="inlineStr">
        <is>
          <t>Turó del Mal Pas</t>
        </is>
      </c>
      <c r="B136" s="52" t="n">
        <v>755</v>
      </c>
      <c r="C136" s="53" t="inlineStr">
        <is>
          <t>Bages</t>
        </is>
      </c>
      <c r="D136" s="53" t="inlineStr">
        <is>
          <t>Bages</t>
        </is>
      </c>
      <c r="E136" s="33" t="inlineStr">
        <is>
          <t>No essencial</t>
        </is>
      </c>
      <c r="F136" s="53" t="n"/>
      <c r="G136" s="33"/>
      <c r="H136" s="54"/>
      <c r="I136" s="53"/>
      <c r="J136" s="55" t="n">
        <v>41.67138</v>
      </c>
      <c r="K136" s="55" t="n">
        <v>1.95469</v>
      </c>
      <c r="L136" s="56" t="inlineStr">
        <is>
          <t>Fitxa ↗</t>
        </is>
      </c>
      <c r="M136" s="56" t="inlineStr">
        <is>
          <t>Mapa ↗</t>
        </is>
      </c>
      <c r="N136" s="33"/>
      <c r="O136" s="53"/>
    </row>
    <row r="137">
      <c r="A137" s="32" t="inlineStr">
        <is>
          <t>Turó de la Torre o de Castellnou</t>
        </is>
      </c>
      <c r="B137" s="52" t="n">
        <v>624</v>
      </c>
      <c r="C137" s="53" t="inlineStr">
        <is>
          <t>Bages</t>
        </is>
      </c>
      <c r="D137" s="53" t="inlineStr">
        <is>
          <t>Bages</t>
        </is>
      </c>
      <c r="E137" s="33" t="inlineStr">
        <is>
          <t>No essencial</t>
        </is>
      </c>
      <c r="F137" s="53" t="n"/>
      <c r="G137" s="33"/>
      <c r="H137" s="54"/>
      <c r="I137" s="53"/>
      <c r="J137" s="55" t="n">
        <v>41.85092</v>
      </c>
      <c r="K137" s="55" t="n">
        <v>1.8301</v>
      </c>
      <c r="L137" s="56" t="inlineStr">
        <is>
          <t>Fitxa ↗</t>
        </is>
      </c>
      <c r="M137" s="56" t="inlineStr">
        <is>
          <t>Mapa ↗</t>
        </is>
      </c>
      <c r="N137" s="33"/>
      <c r="O137" s="53"/>
    </row>
    <row r="138">
      <c r="A138" s="32" t="inlineStr">
        <is>
          <t>el Garrofí</t>
        </is>
      </c>
      <c r="B138" s="52" t="n">
        <v>617</v>
      </c>
      <c r="C138" s="53" t="inlineStr">
        <is>
          <t>Bages</t>
        </is>
      </c>
      <c r="D138" s="53" t="inlineStr">
        <is>
          <t>Bages</t>
        </is>
      </c>
      <c r="E138" s="33" t="inlineStr">
        <is>
          <t>No essencial</t>
        </is>
      </c>
      <c r="F138" s="53" t="n"/>
      <c r="G138" s="33"/>
      <c r="H138" s="54"/>
      <c r="I138" s="53"/>
      <c r="J138" s="55" t="n">
        <v>41.86126</v>
      </c>
      <c r="K138" s="55" t="n">
        <v>1.93872</v>
      </c>
      <c r="L138" s="56" t="inlineStr">
        <is>
          <t>Fitxa ↗</t>
        </is>
      </c>
      <c r="M138" s="56" t="inlineStr">
        <is>
          <t>Mapa ↗</t>
        </is>
      </c>
      <c r="N138" s="33"/>
      <c r="O138" s="53"/>
    </row>
    <row r="139">
      <c r="A139" s="32" t="inlineStr">
        <is>
          <t>Turó de l’Ermità</t>
        </is>
      </c>
      <c r="B139" s="52" t="n">
        <v>595</v>
      </c>
      <c r="C139" s="53" t="inlineStr">
        <is>
          <t>Bages</t>
        </is>
      </c>
      <c r="D139" s="53" t="inlineStr">
        <is>
          <t>Bages</t>
        </is>
      </c>
      <c r="E139" s="33" t="inlineStr">
        <is>
          <t>No essencial</t>
        </is>
      </c>
      <c r="F139" s="53" t="n"/>
      <c r="G139" s="33"/>
      <c r="H139" s="54"/>
      <c r="I139" s="53"/>
      <c r="J139" s="55" t="n">
        <v>41.62026</v>
      </c>
      <c r="K139" s="55" t="n">
        <v>1.81502</v>
      </c>
      <c r="L139" s="56" t="inlineStr">
        <is>
          <t>Fitxa ↗</t>
        </is>
      </c>
      <c r="M139" s="56" t="inlineStr">
        <is>
          <t>Mapa ↗</t>
        </is>
      </c>
      <c r="N139" s="33"/>
      <c r="O139" s="53"/>
    </row>
    <row r="140">
      <c r="A140" s="32" t="inlineStr">
        <is>
          <t>Collbaix</t>
        </is>
      </c>
      <c r="B140" s="52" t="n">
        <v>543</v>
      </c>
      <c r="C140" s="53" t="inlineStr">
        <is>
          <t>Bages</t>
        </is>
      </c>
      <c r="D140" s="53" t="inlineStr">
        <is>
          <t>Bages</t>
        </is>
      </c>
      <c r="E140" s="33" t="inlineStr">
        <is>
          <t>Essencial</t>
        </is>
      </c>
      <c r="F140" s="53" t="n"/>
      <c r="G140" s="33"/>
      <c r="H140" s="54"/>
      <c r="I140" s="53"/>
      <c r="J140" s="55" t="n">
        <v>41.74087</v>
      </c>
      <c r="K140" s="55" t="n">
        <v>1.78097</v>
      </c>
      <c r="L140" s="56" t="inlineStr">
        <is>
          <t>Fitxa ↗</t>
        </is>
      </c>
      <c r="M140" s="56" t="inlineStr">
        <is>
          <t>Mapa ↗</t>
        </is>
      </c>
      <c r="N140" s="33"/>
      <c r="O140" s="53"/>
    </row>
    <row r="141">
      <c r="A141" s="32" t="inlineStr">
        <is>
          <t>Puigsoler</t>
        </is>
      </c>
      <c r="B141" s="52" t="n">
        <v>524</v>
      </c>
      <c r="C141" s="53" t="inlineStr">
        <is>
          <t>Bages</t>
        </is>
      </c>
      <c r="D141" s="53" t="inlineStr">
        <is>
          <t>Bages</t>
        </is>
      </c>
      <c r="E141" s="33" t="inlineStr">
        <is>
          <t>No essencial</t>
        </is>
      </c>
      <c r="F141" s="53" t="n"/>
      <c r="G141" s="33"/>
      <c r="H141" s="54"/>
      <c r="I141" s="53"/>
      <c r="J141" s="55" t="n">
        <v>41.66789</v>
      </c>
      <c r="K141" s="55" t="n">
        <v>1.89286</v>
      </c>
      <c r="L141" s="56" t="inlineStr">
        <is>
          <t>Fitxa ↗</t>
        </is>
      </c>
      <c r="M141" s="56" t="inlineStr">
        <is>
          <t>Mapa ↗</t>
        </is>
      </c>
      <c r="N141" s="33"/>
      <c r="O141" s="53"/>
    </row>
    <row r="142">
      <c r="A142" s="32" t="inlineStr">
        <is>
          <t>Puig-alter</t>
        </is>
      </c>
      <c r="B142" s="52" t="n">
        <v>522</v>
      </c>
      <c r="C142" s="53" t="inlineStr">
        <is>
          <t>Bages</t>
        </is>
      </c>
      <c r="D142" s="53" t="inlineStr">
        <is>
          <t>Bages</t>
        </is>
      </c>
      <c r="E142" s="33" t="inlineStr">
        <is>
          <t>No essencial</t>
        </is>
      </c>
      <c r="F142" s="53" t="n"/>
      <c r="G142" s="33"/>
      <c r="H142" s="54"/>
      <c r="I142" s="53"/>
      <c r="J142" s="55" t="n">
        <v>41.81393</v>
      </c>
      <c r="K142" s="55" t="n">
        <v>1.78554</v>
      </c>
      <c r="L142" s="56" t="inlineStr">
        <is>
          <t>Fitxa ↗</t>
        </is>
      </c>
      <c r="M142" s="56" t="inlineStr">
        <is>
          <t>Mapa ↗</t>
        </is>
      </c>
      <c r="N142" s="33"/>
      <c r="O142" s="53"/>
    </row>
    <row r="143">
      <c r="A143" s="32" t="inlineStr">
        <is>
          <t>Turó de l’Escletxa (Turó de Montconill)</t>
        </is>
      </c>
      <c r="B143" s="52" t="n">
        <v>447</v>
      </c>
      <c r="C143" s="53" t="inlineStr">
        <is>
          <t>Bages</t>
        </is>
      </c>
      <c r="D143" s="53" t="inlineStr">
        <is>
          <t>Bages</t>
        </is>
      </c>
      <c r="E143" s="33" t="inlineStr">
        <is>
          <t>No essencial</t>
        </is>
      </c>
      <c r="F143" s="53" t="n"/>
      <c r="G143" s="33"/>
      <c r="H143" s="54"/>
      <c r="I143" s="53"/>
      <c r="J143" s="55" t="n">
        <v>41.62871</v>
      </c>
      <c r="K143" s="55" t="n">
        <v>1.88695</v>
      </c>
      <c r="L143" s="56" t="inlineStr">
        <is>
          <t>Fitxa ↗</t>
        </is>
      </c>
      <c r="M143" s="56" t="inlineStr">
        <is>
          <t>Mapa ↗</t>
        </is>
      </c>
      <c r="N143" s="33"/>
      <c r="O143" s="53"/>
    </row>
    <row r="144">
      <c r="A144" s="32" t="inlineStr">
        <is>
          <t>Tossal de la Baltasana</t>
        </is>
      </c>
      <c r="B144" s="52" t="n">
        <v>1201</v>
      </c>
      <c r="C144" s="53" t="inlineStr">
        <is>
          <t>Baix Camp</t>
        </is>
      </c>
      <c r="D144" s="53" t="inlineStr">
        <is>
          <t>Baix Camp, Conca de Barberà</t>
        </is>
      </c>
      <c r="E144" s="33" t="inlineStr">
        <is>
          <t>Essencial</t>
        </is>
      </c>
      <c r="F144" s="53" t="inlineStr">
        <is>
          <t>Baix Camp · Conca de Barberà</t>
        </is>
      </c>
      <c r="G144" s="33"/>
      <c r="H144" s="54"/>
      <c r="I144" s="53"/>
      <c r="J144" s="55" t="n">
        <v>41.326</v>
      </c>
      <c r="K144" s="55" t="n">
        <v>1.00419</v>
      </c>
      <c r="L144" s="56" t="inlineStr">
        <is>
          <t>Fitxa ↗</t>
        </is>
      </c>
      <c r="M144" s="56" t="inlineStr">
        <is>
          <t>Mapa ↗</t>
        </is>
      </c>
      <c r="N144" s="33"/>
      <c r="O144" s="53"/>
    </row>
    <row r="145">
      <c r="A145" s="32" t="inlineStr">
        <is>
          <t>Mola d’Estat</t>
        </is>
      </c>
      <c r="B145" s="52" t="n">
        <v>1136</v>
      </c>
      <c r="C145" s="53" t="inlineStr">
        <is>
          <t>Baix Camp</t>
        </is>
      </c>
      <c r="D145" s="53" t="inlineStr">
        <is>
          <t>Baix Camp, Conca de Barberà</t>
        </is>
      </c>
      <c r="E145" s="33" t="inlineStr">
        <is>
          <t>Essencial</t>
        </is>
      </c>
      <c r="F145" s="53" t="n"/>
      <c r="G145" s="33"/>
      <c r="H145" s="54"/>
      <c r="I145" s="53"/>
      <c r="J145" s="55" t="n">
        <v>41.32555</v>
      </c>
      <c r="K145" s="55" t="n">
        <v>1.06058</v>
      </c>
      <c r="L145" s="56" t="inlineStr">
        <is>
          <t>Fitxa ↗</t>
        </is>
      </c>
      <c r="M145" s="56" t="inlineStr">
        <is>
          <t>Mapa ↗</t>
        </is>
      </c>
      <c r="N145" s="33"/>
      <c r="O145" s="53"/>
    </row>
    <row r="146">
      <c r="A146" s="32" t="inlineStr">
        <is>
          <t>Puig Pelat</t>
        </is>
      </c>
      <c r="B146" s="52" t="n">
        <v>1076</v>
      </c>
      <c r="C146" s="53" t="inlineStr">
        <is>
          <t>Baix Camp</t>
        </is>
      </c>
      <c r="D146" s="53" t="inlineStr">
        <is>
          <t>Baix Camp</t>
        </is>
      </c>
      <c r="E146" s="33" t="inlineStr">
        <is>
          <t>No essencial</t>
        </is>
      </c>
      <c r="F146" s="53" t="n"/>
      <c r="G146" s="33"/>
      <c r="H146" s="54"/>
      <c r="I146" s="53"/>
      <c r="J146" s="55" t="n">
        <v>41.26631</v>
      </c>
      <c r="K146" s="55" t="n">
        <v>1.0545</v>
      </c>
      <c r="L146" s="56" t="inlineStr">
        <is>
          <t>Fitxa ↗</t>
        </is>
      </c>
      <c r="M146" s="56" t="inlineStr">
        <is>
          <t>Mapa ↗</t>
        </is>
      </c>
      <c r="N146" s="33"/>
      <c r="O146" s="53"/>
    </row>
    <row r="147">
      <c r="A147" s="32" t="inlineStr">
        <is>
          <t>Puig de Gallicant</t>
        </is>
      </c>
      <c r="B147" s="52" t="n">
        <v>1010</v>
      </c>
      <c r="C147" s="53" t="inlineStr">
        <is>
          <t>Baix Camp</t>
        </is>
      </c>
      <c r="D147" s="53" t="inlineStr">
        <is>
          <t>Baix Camp</t>
        </is>
      </c>
      <c r="E147" s="33" t="inlineStr">
        <is>
          <t>No essencial</t>
        </is>
      </c>
      <c r="F147" s="53" t="n"/>
      <c r="G147" s="33"/>
      <c r="H147" s="54"/>
      <c r="I147" s="53"/>
      <c r="J147" s="55" t="n">
        <v>41.2495</v>
      </c>
      <c r="K147" s="55" t="n">
        <v>0.96072</v>
      </c>
      <c r="L147" s="56" t="inlineStr">
        <is>
          <t>Fitxa ↗</t>
        </is>
      </c>
      <c r="M147" s="56" t="inlineStr">
        <is>
          <t>Mapa ↗</t>
        </is>
      </c>
      <c r="N147" s="33"/>
      <c r="O147" s="53"/>
    </row>
    <row r="148">
      <c r="A148" s="32" t="inlineStr">
        <is>
          <t>Picorandan</t>
        </is>
      </c>
      <c r="B148" s="52" t="n">
        <v>991</v>
      </c>
      <c r="C148" s="53" t="inlineStr">
        <is>
          <t>Baix Camp</t>
        </is>
      </c>
      <c r="D148" s="53" t="inlineStr">
        <is>
          <t>Baix Camp</t>
        </is>
      </c>
      <c r="E148" s="33" t="inlineStr">
        <is>
          <t>No essencial</t>
        </is>
      </c>
      <c r="F148" s="53" t="n"/>
      <c r="G148" s="33"/>
      <c r="H148" s="54"/>
      <c r="I148" s="53"/>
      <c r="J148" s="55" t="n">
        <v>41.28789</v>
      </c>
      <c r="K148" s="55" t="n">
        <v>1.01719</v>
      </c>
      <c r="L148" s="56" t="inlineStr">
        <is>
          <t>Fitxa ↗</t>
        </is>
      </c>
      <c r="M148" s="56" t="inlineStr">
        <is>
          <t>Mapa ↗</t>
        </is>
      </c>
      <c r="N148" s="33"/>
      <c r="O148" s="53"/>
    </row>
    <row r="149">
      <c r="A149" s="32" t="inlineStr">
        <is>
          <t>Mola de Colldejou</t>
        </is>
      </c>
      <c r="B149" s="52" t="n">
        <v>922</v>
      </c>
      <c r="C149" s="53" t="inlineStr">
        <is>
          <t>Baix Camp</t>
        </is>
      </c>
      <c r="D149" s="53" t="inlineStr">
        <is>
          <t>Baix Camp</t>
        </is>
      </c>
      <c r="E149" s="33" t="inlineStr">
        <is>
          <t>Essencial</t>
        </is>
      </c>
      <c r="F149" s="53" t="n"/>
      <c r="G149" s="33"/>
      <c r="H149" s="54"/>
      <c r="I149" s="53"/>
      <c r="J149" s="55" t="n">
        <v>41.10747</v>
      </c>
      <c r="K149" s="55" t="n">
        <v>0.87396</v>
      </c>
      <c r="L149" s="56" t="inlineStr">
        <is>
          <t>Fitxa ↗</t>
        </is>
      </c>
      <c r="M149" s="56" t="inlineStr">
        <is>
          <t>Mapa ↗</t>
        </is>
      </c>
      <c r="N149" s="33"/>
      <c r="O149" s="53"/>
    </row>
    <row r="150">
      <c r="A150" s="32" t="inlineStr">
        <is>
          <t>Miranda de Llaberia</t>
        </is>
      </c>
      <c r="B150" s="52" t="n">
        <v>919</v>
      </c>
      <c r="C150" s="53" t="inlineStr">
        <is>
          <t>Baix Camp</t>
        </is>
      </c>
      <c r="D150" s="53" t="inlineStr">
        <is>
          <t>Baix Camp, Ribera d'Ebre</t>
        </is>
      </c>
      <c r="E150" s="33" t="inlineStr">
        <is>
          <t>No essencial</t>
        </is>
      </c>
      <c r="F150" s="53" t="n"/>
      <c r="G150" s="33"/>
      <c r="H150" s="54"/>
      <c r="I150" s="53"/>
      <c r="J150" s="55" t="n">
        <v>41.09263</v>
      </c>
      <c r="K150" s="55" t="n">
        <v>0.8626200000000001</v>
      </c>
      <c r="L150" s="56" t="inlineStr">
        <is>
          <t>Fitxa ↗</t>
        </is>
      </c>
      <c r="M150" s="56" t="inlineStr">
        <is>
          <t>Mapa ↗</t>
        </is>
      </c>
      <c r="N150" s="33"/>
      <c r="O150" s="53"/>
    </row>
    <row r="151">
      <c r="A151" s="32" t="inlineStr">
        <is>
          <t>Cavall Bernat de Llaberia</t>
        </is>
      </c>
      <c r="B151" s="52" t="n">
        <v>840</v>
      </c>
      <c r="C151" s="53" t="inlineStr">
        <is>
          <t>Baix Camp</t>
        </is>
      </c>
      <c r="D151" s="53" t="inlineStr">
        <is>
          <t>Baix Camp</t>
        </is>
      </c>
      <c r="E151" s="33" t="inlineStr">
        <is>
          <t>Essencial</t>
        </is>
      </c>
      <c r="F151" s="53" t="n"/>
      <c r="G151" s="33"/>
      <c r="H151" s="54"/>
      <c r="I151" s="53"/>
      <c r="J151" s="55" t="n">
        <v>41.08405</v>
      </c>
      <c r="K151" s="55" t="n">
        <v>0.87516</v>
      </c>
      <c r="L151" s="56" t="inlineStr">
        <is>
          <t>Fitxa ↗</t>
        </is>
      </c>
      <c r="M151" s="56" t="inlineStr">
        <is>
          <t>Mapa ↗</t>
        </is>
      </c>
      <c r="N151" s="33"/>
      <c r="O151" s="53"/>
    </row>
    <row r="152">
      <c r="A152" s="32" t="inlineStr">
        <is>
          <t>Miranda de Puigcerver</t>
        </is>
      </c>
      <c r="B152" s="52" t="n">
        <v>834</v>
      </c>
      <c r="C152" s="53" t="inlineStr">
        <is>
          <t>Baix Camp</t>
        </is>
      </c>
      <c r="D152" s="53" t="inlineStr">
        <is>
          <t>Baix Camp</t>
        </is>
      </c>
      <c r="E152" s="33" t="inlineStr">
        <is>
          <t>No essencial</t>
        </is>
      </c>
      <c r="F152" s="53" t="n"/>
      <c r="G152" s="33"/>
      <c r="H152" s="54"/>
      <c r="I152" s="53"/>
      <c r="J152" s="55" t="n">
        <v>41.19359</v>
      </c>
      <c r="K152" s="55" t="n">
        <v>0.93158</v>
      </c>
      <c r="L152" s="56" t="inlineStr">
        <is>
          <t>Fitxa ↗</t>
        </is>
      </c>
      <c r="M152" s="56" t="inlineStr">
        <is>
          <t>Mapa ↗</t>
        </is>
      </c>
      <c r="N152" s="33"/>
      <c r="O152" s="53"/>
    </row>
    <row r="153">
      <c r="A153" s="32" t="inlineStr">
        <is>
          <t>Molló Puntaire</t>
        </is>
      </c>
      <c r="B153" s="52" t="n">
        <v>727</v>
      </c>
      <c r="C153" s="53" t="inlineStr">
        <is>
          <t>Baix Camp</t>
        </is>
      </c>
      <c r="D153" s="53" t="inlineStr">
        <is>
          <t>Baix Camp</t>
        </is>
      </c>
      <c r="E153" s="33" t="inlineStr">
        <is>
          <t>Essencial</t>
        </is>
      </c>
      <c r="F153" s="53" t="n"/>
      <c r="G153" s="33"/>
      <c r="H153" s="54"/>
      <c r="I153" s="53"/>
      <c r="J153" s="55" t="n">
        <v>40.99062</v>
      </c>
      <c r="K153" s="55" t="n">
        <v>0.84784</v>
      </c>
      <c r="L153" s="56" t="inlineStr">
        <is>
          <t>Fitxa ↗</t>
        </is>
      </c>
      <c r="M153" s="56" t="inlineStr">
        <is>
          <t>Mapa ↗</t>
        </is>
      </c>
      <c r="N153" s="33"/>
      <c r="O153" s="53"/>
    </row>
    <row r="154">
      <c r="A154" s="32" t="inlineStr">
        <is>
          <t>Puig d’en Cama</t>
        </is>
      </c>
      <c r="B154" s="52" t="n">
        <v>717</v>
      </c>
      <c r="C154" s="53" t="inlineStr">
        <is>
          <t>Baix Camp</t>
        </is>
      </c>
      <c r="D154" s="53" t="inlineStr">
        <is>
          <t>Baix Camp</t>
        </is>
      </c>
      <c r="E154" s="33" t="inlineStr">
        <is>
          <t>No essencial</t>
        </is>
      </c>
      <c r="F154" s="53" t="n"/>
      <c r="G154" s="33"/>
      <c r="H154" s="54"/>
      <c r="I154" s="53"/>
      <c r="J154" s="55" t="n">
        <v>41.22026</v>
      </c>
      <c r="K154" s="55" t="n">
        <v>1.09407</v>
      </c>
      <c r="L154" s="56" t="inlineStr">
        <is>
          <t>Fitxa ↗</t>
        </is>
      </c>
      <c r="M154" s="56" t="inlineStr">
        <is>
          <t>Mapa ↗</t>
        </is>
      </c>
      <c r="N154" s="33"/>
      <c r="O154" s="53"/>
    </row>
    <row r="155">
      <c r="A155" s="32" t="inlineStr">
        <is>
          <t>Mola de Genessies</t>
        </is>
      </c>
      <c r="B155" s="52" t="n">
        <v>711</v>
      </c>
      <c r="C155" s="53" t="inlineStr">
        <is>
          <t>Baix Camp</t>
        </is>
      </c>
      <c r="D155" s="53" t="inlineStr">
        <is>
          <t>Baix Camp, Ribera d'Ebre</t>
        </is>
      </c>
      <c r="E155" s="33" t="inlineStr">
        <is>
          <t>Essencial</t>
        </is>
      </c>
      <c r="F155" s="53" t="n"/>
      <c r="G155" s="33"/>
      <c r="H155" s="54"/>
      <c r="I155" s="53"/>
      <c r="J155" s="55" t="n">
        <v>41.01629</v>
      </c>
      <c r="K155" s="55" t="n">
        <v>0.78543</v>
      </c>
      <c r="L155" s="56" t="inlineStr">
        <is>
          <t>Fitxa ↗</t>
        </is>
      </c>
      <c r="M155" s="56" t="inlineStr">
        <is>
          <t>Mapa ↗</t>
        </is>
      </c>
      <c r="N155" s="33"/>
      <c r="O155" s="53"/>
    </row>
    <row r="156">
      <c r="A156" s="32" t="inlineStr">
        <is>
          <t>Tossal de l’Alzina</t>
        </is>
      </c>
      <c r="B156" s="52" t="n">
        <v>697</v>
      </c>
      <c r="C156" s="53" t="inlineStr">
        <is>
          <t>Baix Camp</t>
        </is>
      </c>
      <c r="D156" s="53" t="inlineStr">
        <is>
          <t>Baix Camp</t>
        </is>
      </c>
      <c r="E156" s="33" t="inlineStr">
        <is>
          <t>No essencial</t>
        </is>
      </c>
      <c r="F156" s="53" t="n"/>
      <c r="G156" s="33"/>
      <c r="H156" s="54"/>
      <c r="I156" s="53"/>
      <c r="J156" s="55" t="n">
        <v>40.96809</v>
      </c>
      <c r="K156" s="55" t="n">
        <v>0.80955</v>
      </c>
      <c r="L156" s="56" t="inlineStr">
        <is>
          <t>Fitxa ↗</t>
        </is>
      </c>
      <c r="M156" s="56" t="inlineStr">
        <is>
          <t>Mapa ↗</t>
        </is>
      </c>
      <c r="N156" s="33"/>
      <c r="O156" s="53"/>
    </row>
    <row r="157">
      <c r="A157" s="32" t="inlineStr">
        <is>
          <t>Santa Bàrbara (Escornalbou)</t>
        </is>
      </c>
      <c r="B157" s="52" t="n">
        <v>641</v>
      </c>
      <c r="C157" s="53" t="inlineStr">
        <is>
          <t>Baix Camp</t>
        </is>
      </c>
      <c r="D157" s="53" t="inlineStr">
        <is>
          <t>Baix Camp</t>
        </is>
      </c>
      <c r="E157" s="33" t="inlineStr">
        <is>
          <t>No essencial</t>
        </is>
      </c>
      <c r="F157" s="53" t="n"/>
      <c r="G157" s="33"/>
      <c r="H157" s="54"/>
      <c r="I157" s="53"/>
      <c r="J157" s="55" t="n">
        <v>41.12702</v>
      </c>
      <c r="K157" s="55" t="n">
        <v>0.91495</v>
      </c>
      <c r="L157" s="56" t="inlineStr">
        <is>
          <t>Fitxa ↗</t>
        </is>
      </c>
      <c r="M157" s="56" t="inlineStr">
        <is>
          <t>Mapa ↗</t>
        </is>
      </c>
      <c r="N157" s="33"/>
      <c r="O157" s="53"/>
    </row>
    <row r="158">
      <c r="A158" s="32" t="inlineStr">
        <is>
          <t>Puig de la Cabrafiga</t>
        </is>
      </c>
      <c r="B158" s="52" t="n">
        <v>614</v>
      </c>
      <c r="C158" s="53" t="inlineStr">
        <is>
          <t>Baix Camp</t>
        </is>
      </c>
      <c r="D158" s="53" t="inlineStr">
        <is>
          <t>Baix Camp</t>
        </is>
      </c>
      <c r="E158" s="33" t="inlineStr">
        <is>
          <t>Essencial</t>
        </is>
      </c>
      <c r="F158" s="53" t="n"/>
      <c r="G158" s="33"/>
      <c r="H158" s="54"/>
      <c r="I158" s="53"/>
      <c r="J158" s="55" t="n">
        <v>41.05344</v>
      </c>
      <c r="K158" s="55" t="n">
        <v>0.89505</v>
      </c>
      <c r="L158" s="56" t="inlineStr">
        <is>
          <t>Fitxa ↗</t>
        </is>
      </c>
      <c r="M158" s="56" t="inlineStr">
        <is>
          <t>Mapa ↗</t>
        </is>
      </c>
      <c r="N158" s="33"/>
      <c r="O158" s="53"/>
    </row>
    <row r="159">
      <c r="A159" s="32" t="inlineStr">
        <is>
          <t>Punta del Pallars</t>
        </is>
      </c>
      <c r="B159" s="52" t="n">
        <v>551</v>
      </c>
      <c r="C159" s="53" t="inlineStr">
        <is>
          <t>Baix Camp</t>
        </is>
      </c>
      <c r="D159" s="53" t="inlineStr">
        <is>
          <t>Baix Camp</t>
        </is>
      </c>
      <c r="E159" s="33" t="inlineStr">
        <is>
          <t>No essencial</t>
        </is>
      </c>
      <c r="F159" s="53" t="n"/>
      <c r="G159" s="33"/>
      <c r="H159" s="54"/>
      <c r="I159" s="53"/>
      <c r="J159" s="55" t="n">
        <v>41.01247</v>
      </c>
      <c r="K159" s="55" t="n">
        <v>0.87388</v>
      </c>
      <c r="L159" s="56" t="inlineStr">
        <is>
          <t>Fitxa ↗</t>
        </is>
      </c>
      <c r="M159" s="56" t="inlineStr">
        <is>
          <t>Mapa ↗</t>
        </is>
      </c>
      <c r="N159" s="33"/>
      <c r="O159" s="53"/>
    </row>
    <row r="160">
      <c r="A160" s="32" t="inlineStr">
        <is>
          <t>Serret del Cisa</t>
        </is>
      </c>
      <c r="B160" s="52" t="n">
        <v>542</v>
      </c>
      <c r="C160" s="53" t="inlineStr">
        <is>
          <t>Baix Camp</t>
        </is>
      </c>
      <c r="D160" s="53" t="inlineStr">
        <is>
          <t>Baix Camp</t>
        </is>
      </c>
      <c r="E160" s="33" t="inlineStr">
        <is>
          <t>No essencial</t>
        </is>
      </c>
      <c r="F160" s="53" t="n"/>
      <c r="G160" s="33"/>
      <c r="H160" s="54"/>
      <c r="I160" s="53"/>
      <c r="J160" s="55" t="n">
        <v>41.19965</v>
      </c>
      <c r="K160" s="55" t="n">
        <v>1.01746</v>
      </c>
      <c r="L160" s="56" t="inlineStr">
        <is>
          <t>Fitxa ↗</t>
        </is>
      </c>
      <c r="M160" s="56" t="inlineStr">
        <is>
          <t>Mapa ↗</t>
        </is>
      </c>
      <c r="N160" s="33"/>
      <c r="O160" s="53"/>
    </row>
    <row r="161">
      <c r="A161" s="32" t="inlineStr">
        <is>
          <t>el Bres</t>
        </is>
      </c>
      <c r="B161" s="52" t="n">
        <v>525</v>
      </c>
      <c r="C161" s="53" t="inlineStr">
        <is>
          <t>Baix Camp</t>
        </is>
      </c>
      <c r="D161" s="53" t="inlineStr">
        <is>
          <t>Baix Camp</t>
        </is>
      </c>
      <c r="E161" s="33" t="inlineStr">
        <is>
          <t>No essencial</t>
        </is>
      </c>
      <c r="F161" s="53" t="n"/>
      <c r="G161" s="33"/>
      <c r="H161" s="54"/>
      <c r="I161" s="53"/>
      <c r="J161" s="55" t="n">
        <v>41.15394</v>
      </c>
      <c r="K161" s="55" t="n">
        <v>0.97741</v>
      </c>
      <c r="L161" s="56" t="inlineStr">
        <is>
          <t>Fitxa ↗</t>
        </is>
      </c>
      <c r="M161" s="56" t="inlineStr">
        <is>
          <t>Mapa ↗</t>
        </is>
      </c>
      <c r="N161" s="33"/>
      <c r="O161" s="53"/>
    </row>
    <row r="162">
      <c r="A162" s="32" t="inlineStr">
        <is>
          <t>El Torn</t>
        </is>
      </c>
      <c r="B162" s="52" t="n">
        <v>152</v>
      </c>
      <c r="C162" s="53" t="inlineStr">
        <is>
          <t>Baix Camp</t>
        </is>
      </c>
      <c r="D162" s="53" t="inlineStr">
        <is>
          <t>Baix Camp</t>
        </is>
      </c>
      <c r="E162" s="33" t="inlineStr">
        <is>
          <t>No essencial</t>
        </is>
      </c>
      <c r="F162" s="53" t="n"/>
      <c r="G162" s="33"/>
      <c r="H162" s="54"/>
      <c r="I162" s="53"/>
      <c r="J162" s="55" t="n">
        <v>40.96575</v>
      </c>
      <c r="K162" s="55" t="n">
        <v>0.88335</v>
      </c>
      <c r="L162" s="56" t="inlineStr">
        <is>
          <t>Fitxa ↗</t>
        </is>
      </c>
      <c r="M162" s="56" t="inlineStr">
        <is>
          <t>Mapa ↗</t>
        </is>
      </c>
      <c r="N162" s="33"/>
      <c r="O162" s="53"/>
    </row>
    <row r="163">
      <c r="A163" s="32" t="inlineStr">
        <is>
          <t>Caro</t>
        </is>
      </c>
      <c r="B163" s="52" t="n">
        <v>1441</v>
      </c>
      <c r="C163" s="53" t="inlineStr">
        <is>
          <t>Baix Ebre</t>
        </is>
      </c>
      <c r="D163" s="53" t="inlineStr">
        <is>
          <t>Baix Ebre</t>
        </is>
      </c>
      <c r="E163" s="33" t="inlineStr">
        <is>
          <t>Essencial</t>
        </is>
      </c>
      <c r="F163" s="53" t="inlineStr">
        <is>
          <t>Baix Ebre</t>
        </is>
      </c>
      <c r="G163" s="33"/>
      <c r="H163" s="54"/>
      <c r="I163" s="53"/>
      <c r="J163" s="55" t="n">
        <v>40.80313</v>
      </c>
      <c r="K163" s="55" t="n">
        <v>0.34312</v>
      </c>
      <c r="L163" s="56" t="inlineStr">
        <is>
          <t>Fitxa ↗</t>
        </is>
      </c>
      <c r="M163" s="56" t="inlineStr">
        <is>
          <t>Mapa ↗</t>
        </is>
      </c>
      <c r="N163" s="33"/>
      <c r="O163" s="53"/>
    </row>
    <row r="164">
      <c r="A164" s="32" t="inlineStr">
        <is>
          <t>Catinell</t>
        </is>
      </c>
      <c r="B164" s="52" t="n">
        <v>1350</v>
      </c>
      <c r="C164" s="53" t="inlineStr">
        <is>
          <t>Baix Ebre</t>
        </is>
      </c>
      <c r="D164" s="53" t="inlineStr">
        <is>
          <t>Baix Ebre, Montsià</t>
        </is>
      </c>
      <c r="E164" s="33" t="inlineStr">
        <is>
          <t>No essencial</t>
        </is>
      </c>
      <c r="F164" s="53" t="n"/>
      <c r="G164" s="33"/>
      <c r="H164" s="54"/>
      <c r="I164" s="53"/>
      <c r="J164" s="55" t="n">
        <v>40.75873</v>
      </c>
      <c r="K164" s="55" t="n">
        <v>0.28965</v>
      </c>
      <c r="L164" s="56" t="inlineStr">
        <is>
          <t>Fitxa ↗</t>
        </is>
      </c>
      <c r="M164" s="56" t="inlineStr">
        <is>
          <t>Mapa ↗</t>
        </is>
      </c>
      <c r="N164" s="33"/>
      <c r="O164" s="53"/>
    </row>
    <row r="165">
      <c r="A165" s="32" t="inlineStr">
        <is>
          <t>Tosseta Rasa</t>
        </is>
      </c>
      <c r="B165" s="52" t="n">
        <v>1217</v>
      </c>
      <c r="C165" s="53" t="inlineStr">
        <is>
          <t>Baix Ebre</t>
        </is>
      </c>
      <c r="D165" s="53" t="inlineStr">
        <is>
          <t>Baix Ebre, Terra Alta</t>
        </is>
      </c>
      <c r="E165" s="33" t="inlineStr">
        <is>
          <t>No essencial</t>
        </is>
      </c>
      <c r="F165" s="53" t="inlineStr">
        <is>
          <t>Terra Alta</t>
        </is>
      </c>
      <c r="G165" s="33"/>
      <c r="H165" s="54"/>
      <c r="I165" s="53"/>
      <c r="J165" s="55" t="n">
        <v>40.84502</v>
      </c>
      <c r="K165" s="55" t="n">
        <v>0.32744</v>
      </c>
      <c r="L165" s="56" t="inlineStr">
        <is>
          <t>Fitxa ↗</t>
        </is>
      </c>
      <c r="M165" s="56" t="inlineStr">
        <is>
          <t>Mapa ↗</t>
        </is>
      </c>
      <c r="N165" s="33"/>
      <c r="O165" s="53"/>
    </row>
    <row r="166">
      <c r="A166" s="32" t="inlineStr">
        <is>
          <t>L’Espina</t>
        </is>
      </c>
      <c r="B166" s="52" t="n">
        <v>1181</v>
      </c>
      <c r="C166" s="53" t="inlineStr">
        <is>
          <t>Baix Ebre</t>
        </is>
      </c>
      <c r="D166" s="53" t="inlineStr">
        <is>
          <t>Baix Ebre, Terra Alta</t>
        </is>
      </c>
      <c r="E166" s="33" t="inlineStr">
        <is>
          <t>No essencial</t>
        </is>
      </c>
      <c r="F166" s="53" t="n"/>
      <c r="G166" s="33"/>
      <c r="H166" s="54"/>
      <c r="I166" s="53"/>
      <c r="J166" s="55" t="n">
        <v>40.87937</v>
      </c>
      <c r="K166" s="55" t="n">
        <v>0.3609</v>
      </c>
      <c r="L166" s="56" t="inlineStr">
        <is>
          <t>Fitxa ↗</t>
        </is>
      </c>
      <c r="M166" s="56" t="inlineStr">
        <is>
          <t>Mapa ↗</t>
        </is>
      </c>
      <c r="N166" s="33"/>
      <c r="O166" s="53"/>
    </row>
    <row r="167">
      <c r="A167" s="32" t="inlineStr">
        <is>
          <t>Punta de l’Aigua</t>
        </is>
      </c>
      <c r="B167" s="52" t="n">
        <v>1092</v>
      </c>
      <c r="C167" s="53" t="inlineStr">
        <is>
          <t>Baix Ebre</t>
        </is>
      </c>
      <c r="D167" s="53" t="inlineStr">
        <is>
          <t>Baix Ebre, Terra Alta</t>
        </is>
      </c>
      <c r="E167" s="33" t="inlineStr">
        <is>
          <t>No essencial</t>
        </is>
      </c>
      <c r="F167" s="53" t="n"/>
      <c r="G167" s="33"/>
      <c r="H167" s="54"/>
      <c r="I167" s="53"/>
      <c r="J167" s="55" t="n">
        <v>40.92773</v>
      </c>
      <c r="K167" s="55" t="n">
        <v>0.36881</v>
      </c>
      <c r="L167" s="56" t="inlineStr">
        <is>
          <t>Fitxa ↗</t>
        </is>
      </c>
      <c r="M167" s="56" t="inlineStr">
        <is>
          <t>Mapa ↗</t>
        </is>
      </c>
      <c r="N167" s="33"/>
      <c r="O167" s="53"/>
    </row>
    <row r="168">
      <c r="A168" s="32" t="inlineStr">
        <is>
          <t>Tossal d’Engrilló</t>
        </is>
      </c>
      <c r="B168" s="52" t="n">
        <v>1072</v>
      </c>
      <c r="C168" s="53" t="inlineStr">
        <is>
          <t>Baix Ebre</t>
        </is>
      </c>
      <c r="D168" s="53" t="inlineStr">
        <is>
          <t>Baix Ebre, Terra Alta</t>
        </is>
      </c>
      <c r="E168" s="33" t="inlineStr">
        <is>
          <t>Essencial</t>
        </is>
      </c>
      <c r="F168" s="53" t="n"/>
      <c r="G168" s="33"/>
      <c r="H168" s="54"/>
      <c r="I168" s="53"/>
      <c r="J168" s="55" t="n">
        <v>40.94304</v>
      </c>
      <c r="K168" s="55" t="n">
        <v>0.37079</v>
      </c>
      <c r="L168" s="56" t="inlineStr">
        <is>
          <t>Fitxa ↗</t>
        </is>
      </c>
      <c r="M168" s="56" t="inlineStr">
        <is>
          <t>Mapa ↗</t>
        </is>
      </c>
      <c r="N168" s="33"/>
      <c r="O168" s="53"/>
    </row>
    <row r="169">
      <c r="A169" s="32" t="inlineStr">
        <is>
          <t>Moleta de les Canals</t>
        </is>
      </c>
      <c r="B169" s="52" t="n">
        <v>1070</v>
      </c>
      <c r="C169" s="53" t="inlineStr">
        <is>
          <t>Baix Ebre</t>
        </is>
      </c>
      <c r="D169" s="53" t="inlineStr">
        <is>
          <t>Baix Ebre, Terra Alta</t>
        </is>
      </c>
      <c r="E169" s="33" t="inlineStr">
        <is>
          <t>No essencial</t>
        </is>
      </c>
      <c r="F169" s="53" t="n"/>
      <c r="G169" s="33"/>
      <c r="H169" s="54"/>
      <c r="I169" s="53"/>
      <c r="J169" s="55" t="n">
        <v>40.90903</v>
      </c>
      <c r="K169" s="55" t="n">
        <v>0.36274</v>
      </c>
      <c r="L169" s="56" t="inlineStr">
        <is>
          <t>Fitxa ↗</t>
        </is>
      </c>
      <c r="M169" s="56" t="inlineStr">
        <is>
          <t>Mapa ↗</t>
        </is>
      </c>
      <c r="N169" s="33"/>
      <c r="O169" s="53"/>
    </row>
    <row r="170">
      <c r="A170" s="32" t="inlineStr">
        <is>
          <t>Mola Castellona</t>
        </is>
      </c>
      <c r="B170" s="52" t="n">
        <v>1034</v>
      </c>
      <c r="C170" s="53" t="inlineStr">
        <is>
          <t>Baix Ebre</t>
        </is>
      </c>
      <c r="D170" s="53" t="inlineStr">
        <is>
          <t>Baix Ebre</t>
        </is>
      </c>
      <c r="E170" s="33" t="inlineStr">
        <is>
          <t>No essencial</t>
        </is>
      </c>
      <c r="F170" s="53" t="n"/>
      <c r="G170" s="33"/>
      <c r="H170" s="54"/>
      <c r="I170" s="53"/>
      <c r="J170" s="55" t="n">
        <v>40.79976</v>
      </c>
      <c r="K170" s="55" t="n">
        <v>0.36978</v>
      </c>
      <c r="L170" s="56" t="inlineStr">
        <is>
          <t>Fitxa ↗</t>
        </is>
      </c>
      <c r="M170" s="56" t="inlineStr">
        <is>
          <t>Mapa ↗</t>
        </is>
      </c>
      <c r="N170" s="33"/>
      <c r="O170" s="53"/>
    </row>
    <row r="171">
      <c r="A171" s="32" t="inlineStr">
        <is>
          <t>Creu de Santos</t>
        </is>
      </c>
      <c r="B171" s="52" t="n">
        <v>942</v>
      </c>
      <c r="C171" s="53" t="inlineStr">
        <is>
          <t>Baix Ebre</t>
        </is>
      </c>
      <c r="D171" s="53" t="inlineStr">
        <is>
          <t>Baix Ebre, Ribera d'Ebre</t>
        </is>
      </c>
      <c r="E171" s="33" t="inlineStr">
        <is>
          <t>Essencial</t>
        </is>
      </c>
      <c r="F171" s="53" t="inlineStr">
        <is>
          <t>Ribera d'Ebre</t>
        </is>
      </c>
      <c r="G171" s="33"/>
      <c r="H171" s="54"/>
      <c r="I171" s="53"/>
      <c r="J171" s="55" t="n">
        <v>40.94069</v>
      </c>
      <c r="K171" s="55" t="n">
        <v>0.58602</v>
      </c>
      <c r="L171" s="56" t="inlineStr">
        <is>
          <t>Fitxa ↗</t>
        </is>
      </c>
      <c r="M171" s="56" t="inlineStr">
        <is>
          <t>Mapa ↗</t>
        </is>
      </c>
      <c r="N171" s="33"/>
      <c r="O171" s="53"/>
    </row>
    <row r="172">
      <c r="A172" s="32" t="inlineStr">
        <is>
          <t>La Coscollosa</t>
        </is>
      </c>
      <c r="B172" s="52" t="n">
        <v>879</v>
      </c>
      <c r="C172" s="53" t="inlineStr">
        <is>
          <t>Baix Ebre</t>
        </is>
      </c>
      <c r="D172" s="53" t="inlineStr">
        <is>
          <t>Baix Ebre</t>
        </is>
      </c>
      <c r="E172" s="33" t="inlineStr">
        <is>
          <t>No essencial</t>
        </is>
      </c>
      <c r="F172" s="53" t="n"/>
      <c r="G172" s="33"/>
      <c r="H172" s="54"/>
      <c r="I172" s="53"/>
      <c r="J172" s="55" t="n">
        <v>40.90238</v>
      </c>
      <c r="K172" s="55" t="n">
        <v>0.41356</v>
      </c>
      <c r="L172" s="56" t="inlineStr">
        <is>
          <t>Fitxa ↗</t>
        </is>
      </c>
      <c r="M172" s="56" t="inlineStr">
        <is>
          <t>Mapa ↗</t>
        </is>
      </c>
      <c r="N172" s="33"/>
      <c r="O172" s="53"/>
    </row>
    <row r="173">
      <c r="A173" s="32" t="inlineStr">
        <is>
          <t>la Moleta</t>
        </is>
      </c>
      <c r="B173" s="52" t="n">
        <v>812</v>
      </c>
      <c r="C173" s="53" t="inlineStr">
        <is>
          <t>Baix Ebre</t>
        </is>
      </c>
      <c r="D173" s="53" t="inlineStr">
        <is>
          <t>Baix Ebre</t>
        </is>
      </c>
      <c r="E173" s="33" t="inlineStr">
        <is>
          <t>No essencial</t>
        </is>
      </c>
      <c r="F173" s="53" t="n"/>
      <c r="G173" s="33"/>
      <c r="H173" s="54"/>
      <c r="I173" s="53"/>
      <c r="J173" s="55" t="n">
        <v>40.8993</v>
      </c>
      <c r="K173" s="55" t="n">
        <v>0.41787</v>
      </c>
      <c r="L173" s="56" t="inlineStr">
        <is>
          <t>Fitxa ↗</t>
        </is>
      </c>
      <c r="M173" s="56" t="inlineStr">
        <is>
          <t>Mapa ↗</t>
        </is>
      </c>
      <c r="N173" s="33"/>
      <c r="O173" s="53"/>
    </row>
    <row r="174">
      <c r="A174" s="32" t="inlineStr">
        <is>
          <t>Punta de les Picòssies</t>
        </is>
      </c>
      <c r="B174" s="52" t="n">
        <v>772</v>
      </c>
      <c r="C174" s="53" t="inlineStr">
        <is>
          <t>Baix Ebre</t>
        </is>
      </c>
      <c r="D174" s="53" t="inlineStr">
        <is>
          <t>Baix Ebre, Ribera d'Ebre</t>
        </is>
      </c>
      <c r="E174" s="33" t="inlineStr">
        <is>
          <t>No essencial</t>
        </is>
      </c>
      <c r="F174" s="53" t="n"/>
      <c r="G174" s="33"/>
      <c r="H174" s="54"/>
      <c r="I174" s="53"/>
      <c r="J174" s="55" t="n">
        <v>40.96349</v>
      </c>
      <c r="K174" s="55" t="n">
        <v>0.5843699999999999</v>
      </c>
      <c r="L174" s="56" t="inlineStr">
        <is>
          <t>Fitxa ↗</t>
        </is>
      </c>
      <c r="M174" s="56" t="inlineStr">
        <is>
          <t>Mapa ↗</t>
        </is>
      </c>
      <c r="N174" s="33"/>
      <c r="O174" s="53"/>
    </row>
    <row r="175">
      <c r="A175" s="32" t="inlineStr">
        <is>
          <t>Morral del Cabrafeixet</t>
        </is>
      </c>
      <c r="B175" s="52" t="n">
        <v>753</v>
      </c>
      <c r="C175" s="53" t="inlineStr">
        <is>
          <t>Baix Ebre</t>
        </is>
      </c>
      <c r="D175" s="53" t="inlineStr">
        <is>
          <t>Baix Ebre</t>
        </is>
      </c>
      <c r="E175" s="33" t="inlineStr">
        <is>
          <t>No essencial</t>
        </is>
      </c>
      <c r="F175" s="53" t="n"/>
      <c r="G175" s="33"/>
      <c r="H175" s="54"/>
      <c r="I175" s="53"/>
      <c r="J175" s="55" t="n">
        <v>40.89858</v>
      </c>
      <c r="K175" s="55" t="n">
        <v>0.62503</v>
      </c>
      <c r="L175" s="56" t="inlineStr">
        <is>
          <t>Fitxa ↗</t>
        </is>
      </c>
      <c r="M175" s="56" t="inlineStr">
        <is>
          <t>Mapa ↗</t>
        </is>
      </c>
      <c r="N175" s="33"/>
      <c r="O175" s="53"/>
    </row>
    <row r="176">
      <c r="A176" s="32" t="inlineStr">
        <is>
          <t>Montaspre</t>
        </is>
      </c>
      <c r="B176" s="52" t="n">
        <v>528</v>
      </c>
      <c r="C176" s="53" t="inlineStr">
        <is>
          <t>Baix Ebre</t>
        </is>
      </c>
      <c r="D176" s="53" t="inlineStr">
        <is>
          <t>Baix Ebre</t>
        </is>
      </c>
      <c r="E176" s="33" t="inlineStr">
        <is>
          <t>No essencial</t>
        </is>
      </c>
      <c r="F176" s="53" t="n"/>
      <c r="G176" s="33"/>
      <c r="H176" s="54"/>
      <c r="I176" s="53"/>
      <c r="J176" s="55" t="n">
        <v>40.87558</v>
      </c>
      <c r="K176" s="55" t="n">
        <v>0.57093</v>
      </c>
      <c r="L176" s="56" t="inlineStr">
        <is>
          <t>Fitxa ↗</t>
        </is>
      </c>
      <c r="M176" s="56" t="inlineStr">
        <is>
          <t>Mapa ↗</t>
        </is>
      </c>
      <c r="N176" s="33"/>
      <c r="O176" s="53"/>
    </row>
    <row r="177">
      <c r="A177" s="32" t="inlineStr">
        <is>
          <t>lo Caramull</t>
        </is>
      </c>
      <c r="B177" s="52" t="n">
        <v>429</v>
      </c>
      <c r="C177" s="53" t="inlineStr">
        <is>
          <t>Baix Ebre</t>
        </is>
      </c>
      <c r="D177" s="53" t="inlineStr">
        <is>
          <t>Baix Ebre</t>
        </is>
      </c>
      <c r="E177" s="33" t="inlineStr">
        <is>
          <t>No essencial</t>
        </is>
      </c>
      <c r="F177" s="53" t="n"/>
      <c r="G177" s="33"/>
      <c r="H177" s="54"/>
      <c r="I177" s="53"/>
      <c r="J177" s="55" t="n">
        <v>40.98711</v>
      </c>
      <c r="K177" s="55" t="n">
        <v>0.5478499999999999</v>
      </c>
      <c r="L177" s="56" t="inlineStr">
        <is>
          <t>Fitxa ↗</t>
        </is>
      </c>
      <c r="M177" s="56" t="inlineStr">
        <is>
          <t>Mapa ↗</t>
        </is>
      </c>
      <c r="N177" s="33"/>
      <c r="O177" s="53"/>
    </row>
    <row r="178">
      <c r="A178" s="32" t="inlineStr">
        <is>
          <t>Tossal de Montagut</t>
        </is>
      </c>
      <c r="B178" s="52" t="n">
        <v>394</v>
      </c>
      <c r="C178" s="53" t="inlineStr">
        <is>
          <t>Baix Ebre</t>
        </is>
      </c>
      <c r="D178" s="53" t="inlineStr">
        <is>
          <t>Baix Ebre, Ribera d'Ebre</t>
        </is>
      </c>
      <c r="E178" s="33" t="inlineStr">
        <is>
          <t>No essencial</t>
        </is>
      </c>
      <c r="F178" s="53" t="n"/>
      <c r="G178" s="33"/>
      <c r="H178" s="54"/>
      <c r="I178" s="53"/>
      <c r="J178" s="55" t="n">
        <v>40.9413</v>
      </c>
      <c r="K178" s="55" t="n">
        <v>0.71471</v>
      </c>
      <c r="L178" s="56" t="inlineStr">
        <is>
          <t>Fitxa ↗</t>
        </is>
      </c>
      <c r="M178" s="56" t="inlineStr">
        <is>
          <t>Mapa ↗</t>
        </is>
      </c>
      <c r="N178" s="33"/>
      <c r="O178" s="53"/>
    </row>
    <row r="179">
      <c r="A179" s="32" t="inlineStr">
        <is>
          <t>Puig d’Arques</t>
        </is>
      </c>
      <c r="B179" s="52" t="n">
        <v>533</v>
      </c>
      <c r="C179" s="53" t="inlineStr">
        <is>
          <t>Baix Empordà</t>
        </is>
      </c>
      <c r="D179" s="53" t="inlineStr">
        <is>
          <t>Baix Empordà</t>
        </is>
      </c>
      <c r="E179" s="33" t="inlineStr">
        <is>
          <t>No essencial</t>
        </is>
      </c>
      <c r="F179" s="53" t="n"/>
      <c r="G179" s="33"/>
      <c r="H179" s="54"/>
      <c r="I179" s="53"/>
      <c r="J179" s="55" t="n">
        <v>41.88873</v>
      </c>
      <c r="K179" s="55" t="n">
        <v>2.9943</v>
      </c>
      <c r="L179" s="56" t="inlineStr">
        <is>
          <t>Fitxa ↗</t>
        </is>
      </c>
      <c r="M179" s="56" t="inlineStr">
        <is>
          <t>Mapa ↗</t>
        </is>
      </c>
      <c r="N179" s="33"/>
      <c r="O179" s="53"/>
    </row>
    <row r="180">
      <c r="A180" s="32" t="inlineStr">
        <is>
          <t>Puig de les Cols</t>
        </is>
      </c>
      <c r="B180" s="52" t="n">
        <v>417</v>
      </c>
      <c r="C180" s="53" t="inlineStr">
        <is>
          <t>Baix Empordà</t>
        </is>
      </c>
      <c r="D180" s="53" t="inlineStr">
        <is>
          <t>Baix Empordà</t>
        </is>
      </c>
      <c r="E180" s="33" t="inlineStr">
        <is>
          <t>No essencial</t>
        </is>
      </c>
      <c r="F180" s="53" t="n"/>
      <c r="G180" s="33"/>
      <c r="H180" s="54"/>
      <c r="I180" s="53"/>
      <c r="J180" s="55" t="n">
        <v>41.78044</v>
      </c>
      <c r="K180" s="55" t="n">
        <v>2.97568</v>
      </c>
      <c r="L180" s="56" t="inlineStr">
        <is>
          <t>Fitxa ↗</t>
        </is>
      </c>
      <c r="M180" s="56" t="inlineStr">
        <is>
          <t>Mapa ↗</t>
        </is>
      </c>
      <c r="N180" s="33"/>
      <c r="O180" s="53"/>
    </row>
    <row r="181">
      <c r="A181" s="32" t="inlineStr">
        <is>
          <t>Montclar</t>
        </is>
      </c>
      <c r="B181" s="52" t="n">
        <v>401</v>
      </c>
      <c r="C181" s="53" t="inlineStr">
        <is>
          <t>Baix Empordà</t>
        </is>
      </c>
      <c r="D181" s="53" t="inlineStr">
        <is>
          <t>Baix Empordà</t>
        </is>
      </c>
      <c r="E181" s="33" t="inlineStr">
        <is>
          <t>No essencial</t>
        </is>
      </c>
      <c r="F181" s="53" t="n"/>
      <c r="G181" s="33"/>
      <c r="H181" s="54"/>
      <c r="I181" s="53"/>
      <c r="J181" s="55" t="n">
        <v>41.78866</v>
      </c>
      <c r="K181" s="55" t="n">
        <v>2.95619</v>
      </c>
      <c r="L181" s="56" t="inlineStr">
        <is>
          <t>Fitxa ↗</t>
        </is>
      </c>
      <c r="M181" s="56" t="inlineStr">
        <is>
          <t>Mapa ↗</t>
        </is>
      </c>
      <c r="N181" s="33"/>
      <c r="O181" s="53"/>
    </row>
    <row r="182">
      <c r="A182" s="32" t="inlineStr">
        <is>
          <t>Puig Gros</t>
        </is>
      </c>
      <c r="B182" s="52" t="n">
        <v>325</v>
      </c>
      <c r="C182" s="53" t="inlineStr">
        <is>
          <t>Baix Empordà</t>
        </is>
      </c>
      <c r="D182" s="53" t="inlineStr">
        <is>
          <t>Baix Empordà</t>
        </is>
      </c>
      <c r="E182" s="33" t="inlineStr">
        <is>
          <t>No essencial</t>
        </is>
      </c>
      <c r="F182" s="53" t="n"/>
      <c r="G182" s="33"/>
      <c r="H182" s="54"/>
      <c r="I182" s="53"/>
      <c r="J182" s="55" t="n">
        <v>41.77502</v>
      </c>
      <c r="K182" s="55" t="n">
        <v>2.99797</v>
      </c>
      <c r="L182" s="56" t="inlineStr">
        <is>
          <t>Fitxa ↗</t>
        </is>
      </c>
      <c r="M182" s="56" t="inlineStr">
        <is>
          <t>Mapa ↗</t>
        </is>
      </c>
      <c r="N182" s="33"/>
      <c r="O182" s="53"/>
    </row>
    <row r="183">
      <c r="A183" s="32" t="inlineStr">
        <is>
          <t>Castell de Montgrí</t>
        </is>
      </c>
      <c r="B183" s="52" t="n">
        <v>303</v>
      </c>
      <c r="C183" s="53" t="inlineStr">
        <is>
          <t>Baix Empordà</t>
        </is>
      </c>
      <c r="D183" s="53" t="inlineStr">
        <is>
          <t>Baix Empordà</t>
        </is>
      </c>
      <c r="E183" s="33" t="inlineStr">
        <is>
          <t>Essencial</t>
        </is>
      </c>
      <c r="F183" s="53" t="n"/>
      <c r="G183" s="33"/>
      <c r="H183" s="54"/>
      <c r="I183" s="53"/>
      <c r="J183" s="55" t="n">
        <v>42.05211</v>
      </c>
      <c r="K183" s="55" t="n">
        <v>3.13165</v>
      </c>
      <c r="L183" s="56" t="inlineStr">
        <is>
          <t>Fitxa ↗</t>
        </is>
      </c>
      <c r="M183" s="56" t="inlineStr">
        <is>
          <t>Mapa ↗</t>
        </is>
      </c>
      <c r="N183" s="33"/>
      <c r="O183" s="53"/>
    </row>
    <row r="184">
      <c r="A184" s="32" t="inlineStr">
        <is>
          <t>Quermany Gros</t>
        </is>
      </c>
      <c r="B184" s="52" t="n">
        <v>228</v>
      </c>
      <c r="C184" s="53" t="inlineStr">
        <is>
          <t>Baix Empordà</t>
        </is>
      </c>
      <c r="D184" s="53" t="inlineStr">
        <is>
          <t>Baix Empordà</t>
        </is>
      </c>
      <c r="E184" s="33" t="inlineStr">
        <is>
          <t>No essencial</t>
        </is>
      </c>
      <c r="F184" s="53" t="n"/>
      <c r="G184" s="33"/>
      <c r="H184" s="54"/>
      <c r="I184" s="53"/>
      <c r="J184" s="55" t="n">
        <v>41.96031</v>
      </c>
      <c r="K184" s="55" t="n">
        <v>3.1701</v>
      </c>
      <c r="L184" s="56" t="inlineStr">
        <is>
          <t>Fitxa ↗</t>
        </is>
      </c>
      <c r="M184" s="56" t="inlineStr">
        <is>
          <t>Mapa ↗</t>
        </is>
      </c>
      <c r="N184" s="33"/>
      <c r="O184" s="53"/>
    </row>
    <row r="185">
      <c r="A185" s="32" t="inlineStr">
        <is>
          <t>Roca Maura</t>
        </is>
      </c>
      <c r="B185" s="52" t="n">
        <v>225</v>
      </c>
      <c r="C185" s="53" t="inlineStr">
        <is>
          <t>Baix Empordà</t>
        </is>
      </c>
      <c r="D185" s="53" t="inlineStr">
        <is>
          <t>Baix Empordà</t>
        </is>
      </c>
      <c r="E185" s="33" t="inlineStr">
        <is>
          <t>No essencial</t>
        </is>
      </c>
      <c r="F185" s="53" t="n"/>
      <c r="G185" s="33"/>
      <c r="H185" s="54"/>
      <c r="I185" s="53"/>
      <c r="J185" s="55" t="n">
        <v>42.0554</v>
      </c>
      <c r="K185" s="55" t="n">
        <v>3.18983</v>
      </c>
      <c r="L185" s="56" t="inlineStr">
        <is>
          <t>Fitxa ↗</t>
        </is>
      </c>
      <c r="M185" s="56" t="inlineStr">
        <is>
          <t>Mapa ↗</t>
        </is>
      </c>
      <c r="N185" s="33"/>
      <c r="O185" s="53"/>
    </row>
    <row r="186">
      <c r="A186" s="32" t="inlineStr">
        <is>
          <t>L’Albarda Castellana</t>
        </is>
      </c>
      <c r="B186" s="52" t="n">
        <v>1178</v>
      </c>
      <c r="C186" s="53" t="inlineStr">
        <is>
          <t>Baix Llobregat</t>
        </is>
      </c>
      <c r="D186" s="53" t="inlineStr">
        <is>
          <t>Baix Llobregat</t>
        </is>
      </c>
      <c r="E186" s="33" t="inlineStr">
        <is>
          <t>No essencial</t>
        </is>
      </c>
      <c r="F186" s="53" t="inlineStr">
        <is>
          <t>Baix Llobregat</t>
        </is>
      </c>
      <c r="G186" s="33"/>
      <c r="H186" s="54"/>
      <c r="I186" s="53"/>
      <c r="J186" s="55" t="n">
        <v>41.60102</v>
      </c>
      <c r="K186" s="55" t="n">
        <v>1.81338</v>
      </c>
      <c r="L186" s="56" t="inlineStr">
        <is>
          <t>Fitxa ↗</t>
        </is>
      </c>
      <c r="M186" s="56" t="inlineStr">
        <is>
          <t>Mapa ↗</t>
        </is>
      </c>
      <c r="N186" s="33"/>
      <c r="O186" s="53"/>
    </row>
    <row r="187">
      <c r="A187" s="32" t="inlineStr">
        <is>
          <t>Miranda de Santa Magdalena</t>
        </is>
      </c>
      <c r="B187" s="52" t="n">
        <v>1132</v>
      </c>
      <c r="C187" s="53" t="inlineStr">
        <is>
          <t>Baix Llobregat</t>
        </is>
      </c>
      <c r="D187" s="53" t="inlineStr">
        <is>
          <t>Baix Llobregat</t>
        </is>
      </c>
      <c r="E187" s="33" t="inlineStr">
        <is>
          <t>No essencial</t>
        </is>
      </c>
      <c r="F187" s="53" t="n"/>
      <c r="G187" s="33"/>
      <c r="H187" s="54"/>
      <c r="I187" s="53"/>
      <c r="J187" s="55" t="n">
        <v>41.58841</v>
      </c>
      <c r="K187" s="55" t="n">
        <v>1.82648</v>
      </c>
      <c r="L187" s="56" t="inlineStr">
        <is>
          <t>Fitxa ↗</t>
        </is>
      </c>
      <c r="M187" s="56" t="inlineStr">
        <is>
          <t>Mapa ↗</t>
        </is>
      </c>
      <c r="N187" s="33"/>
      <c r="O187" s="53"/>
    </row>
    <row r="188">
      <c r="A188" s="32" t="inlineStr">
        <is>
          <t>La Morella</t>
        </is>
      </c>
      <c r="B188" s="52" t="n">
        <v>594</v>
      </c>
      <c r="C188" s="53" t="inlineStr">
        <is>
          <t>Baix Llobregat</t>
        </is>
      </c>
      <c r="D188" s="53" t="inlineStr">
        <is>
          <t>Baix Llobregat</t>
        </is>
      </c>
      <c r="E188" s="33" t="inlineStr">
        <is>
          <t>Essencial</t>
        </is>
      </c>
      <c r="F188" s="53" t="n"/>
      <c r="G188" s="33"/>
      <c r="H188" s="54"/>
      <c r="I188" s="53"/>
      <c r="J188" s="55" t="n">
        <v>41.29653</v>
      </c>
      <c r="K188" s="55" t="n">
        <v>1.91549</v>
      </c>
      <c r="L188" s="56" t="inlineStr">
        <is>
          <t>Fitxa ↗</t>
        </is>
      </c>
      <c r="M188" s="56" t="inlineStr">
        <is>
          <t>Mapa ↗</t>
        </is>
      </c>
      <c r="N188" s="33"/>
      <c r="O188" s="53"/>
    </row>
    <row r="189">
      <c r="A189" s="32" t="inlineStr">
        <is>
          <t>les Solius</t>
        </is>
      </c>
      <c r="B189" s="52" t="n">
        <v>533</v>
      </c>
      <c r="C189" s="53" t="inlineStr">
        <is>
          <t>Baix Llobregat</t>
        </is>
      </c>
      <c r="D189" s="53" t="inlineStr">
        <is>
          <t>Baix Llobregat</t>
        </is>
      </c>
      <c r="E189" s="33" t="inlineStr">
        <is>
          <t>No essencial</t>
        </is>
      </c>
      <c r="F189" s="53" t="n"/>
      <c r="G189" s="33"/>
      <c r="H189" s="54"/>
      <c r="I189" s="53"/>
      <c r="J189" s="55" t="n">
        <v>41.30846</v>
      </c>
      <c r="K189" s="55" t="n">
        <v>1.8868</v>
      </c>
      <c r="L189" s="56" t="inlineStr">
        <is>
          <t>Fitxa ↗</t>
        </is>
      </c>
      <c r="M189" s="56" t="inlineStr">
        <is>
          <t>Mapa ↗</t>
        </is>
      </c>
      <c r="N189" s="33"/>
      <c r="O189" s="53"/>
    </row>
    <row r="190">
      <c r="A190" s="32" t="inlineStr">
        <is>
          <t>Puig Cendrós</t>
        </is>
      </c>
      <c r="B190" s="52" t="n">
        <v>499</v>
      </c>
      <c r="C190" s="53" t="inlineStr">
        <is>
          <t>Baix Llobregat</t>
        </is>
      </c>
      <c r="D190" s="53" t="inlineStr">
        <is>
          <t>Baix Llobregat</t>
        </is>
      </c>
      <c r="E190" s="33" t="inlineStr">
        <is>
          <t>No essencial</t>
        </is>
      </c>
      <c r="F190" s="53" t="n"/>
      <c r="G190" s="33"/>
      <c r="H190" s="54"/>
      <c r="I190" s="53"/>
      <c r="J190" s="55" t="n">
        <v>41.57564</v>
      </c>
      <c r="K190" s="55" t="n">
        <v>1.89299</v>
      </c>
      <c r="L190" s="56" t="inlineStr">
        <is>
          <t>Fitxa ↗</t>
        </is>
      </c>
      <c r="M190" s="56" t="inlineStr">
        <is>
          <t>Mapa ↗</t>
        </is>
      </c>
      <c r="N190" s="33"/>
      <c r="O190" s="53"/>
    </row>
    <row r="191">
      <c r="A191" s="32" t="inlineStr">
        <is>
          <t>Puig Vicenç</t>
        </is>
      </c>
      <c r="B191" s="52" t="n">
        <v>468</v>
      </c>
      <c r="C191" s="53" t="inlineStr">
        <is>
          <t>Baix Llobregat</t>
        </is>
      </c>
      <c r="D191" s="53" t="inlineStr">
        <is>
          <t>Baix Llobregat</t>
        </is>
      </c>
      <c r="E191" s="33" t="inlineStr">
        <is>
          <t>No essencial</t>
        </is>
      </c>
      <c r="F191" s="53" t="n"/>
      <c r="G191" s="33"/>
      <c r="H191" s="54"/>
      <c r="I191" s="53"/>
      <c r="J191" s="55" t="n">
        <v>41.36781</v>
      </c>
      <c r="K191" s="55" t="n">
        <v>1.95404</v>
      </c>
      <c r="L191" s="56" t="inlineStr">
        <is>
          <t>Fitxa ↗</t>
        </is>
      </c>
      <c r="M191" s="56" t="inlineStr">
        <is>
          <t>Mapa ↗</t>
        </is>
      </c>
      <c r="N191" s="33"/>
      <c r="O191" s="53"/>
    </row>
    <row r="192">
      <c r="A192" s="32" t="inlineStr">
        <is>
          <t>Puig d’Olorda</t>
        </is>
      </c>
      <c r="B192" s="52" t="n">
        <v>436</v>
      </c>
      <c r="C192" s="53" t="inlineStr">
        <is>
          <t>Baix Llobregat</t>
        </is>
      </c>
      <c r="D192" s="53" t="inlineStr">
        <is>
          <t>Baix Llobregat, Barcelonès</t>
        </is>
      </c>
      <c r="E192" s="33" t="inlineStr">
        <is>
          <t>No essencial</t>
        </is>
      </c>
      <c r="F192" s="53" t="n"/>
      <c r="G192" s="33"/>
      <c r="H192" s="54"/>
      <c r="I192" s="53"/>
      <c r="J192" s="55" t="n">
        <v>41.41221</v>
      </c>
      <c r="K192" s="55" t="n">
        <v>2.05521</v>
      </c>
      <c r="L192" s="56" t="inlineStr">
        <is>
          <t>Fitxa ↗</t>
        </is>
      </c>
      <c r="M192" s="56" t="inlineStr">
        <is>
          <t>Mapa ↗</t>
        </is>
      </c>
      <c r="N192" s="33"/>
      <c r="O192" s="53"/>
    </row>
    <row r="193">
      <c r="A193" s="32" t="inlineStr">
        <is>
          <t>Sant Salvador de les Espases</t>
        </is>
      </c>
      <c r="B193" s="52" t="n">
        <v>413</v>
      </c>
      <c r="C193" s="53" t="inlineStr">
        <is>
          <t>Baix Llobregat</t>
        </is>
      </c>
      <c r="D193" s="53" t="inlineStr">
        <is>
          <t>Baix Llobregat, Vallès Occidental</t>
        </is>
      </c>
      <c r="E193" s="33" t="inlineStr">
        <is>
          <t>Essencial</t>
        </is>
      </c>
      <c r="F193" s="53" t="n"/>
      <c r="G193" s="33"/>
      <c r="H193" s="54"/>
      <c r="I193" s="53"/>
      <c r="J193" s="55" t="n">
        <v>41.57909</v>
      </c>
      <c r="K193" s="55" t="n">
        <v>1.88443</v>
      </c>
      <c r="L193" s="56" t="inlineStr">
        <is>
          <t>Fitxa ↗</t>
        </is>
      </c>
      <c r="M193" s="56" t="inlineStr">
        <is>
          <t>Mapa ↗</t>
        </is>
      </c>
      <c r="N193" s="33"/>
      <c r="O193" s="53"/>
    </row>
    <row r="194">
      <c r="A194" s="32" t="inlineStr">
        <is>
          <t>Sant Pere Màrtir</t>
        </is>
      </c>
      <c r="B194" s="52" t="n">
        <v>389</v>
      </c>
      <c r="C194" s="53" t="inlineStr">
        <is>
          <t>Baix Llobregat</t>
        </is>
      </c>
      <c r="D194" s="53" t="inlineStr">
        <is>
          <t>Baix Llobregat, Barcelonès</t>
        </is>
      </c>
      <c r="E194" s="33" t="inlineStr">
        <is>
          <t>Essencial</t>
        </is>
      </c>
      <c r="F194" s="53" t="n"/>
      <c r="G194" s="33"/>
      <c r="H194" s="54"/>
      <c r="I194" s="53"/>
      <c r="J194" s="55" t="n">
        <v>41.39366</v>
      </c>
      <c r="K194" s="55" t="n">
        <v>2.09788</v>
      </c>
      <c r="L194" s="56" t="inlineStr">
        <is>
          <t>Fitxa ↗</t>
        </is>
      </c>
      <c r="M194" s="56" t="inlineStr">
        <is>
          <t>Mapa ↗</t>
        </is>
      </c>
      <c r="N194" s="33"/>
      <c r="O194" s="53"/>
    </row>
    <row r="195">
      <c r="A195" s="32" t="inlineStr">
        <is>
          <t>Puig Madrona</t>
        </is>
      </c>
      <c r="B195" s="52" t="n">
        <v>341</v>
      </c>
      <c r="C195" s="53" t="inlineStr">
        <is>
          <t>Baix Llobregat</t>
        </is>
      </c>
      <c r="D195" s="53" t="inlineStr">
        <is>
          <t>Baix Llobregat, Vallès Occidental</t>
        </is>
      </c>
      <c r="E195" s="33" t="inlineStr">
        <is>
          <t>No essencial</t>
        </is>
      </c>
      <c r="F195" s="53" t="n"/>
      <c r="G195" s="33"/>
      <c r="H195" s="54"/>
      <c r="I195" s="53"/>
      <c r="J195" s="55" t="n">
        <v>41.4513</v>
      </c>
      <c r="K195" s="55" t="n">
        <v>2.0241</v>
      </c>
      <c r="L195" s="56" t="inlineStr">
        <is>
          <t>Fitxa ↗</t>
        </is>
      </c>
      <c r="M195" s="56" t="inlineStr">
        <is>
          <t>Mapa ↗</t>
        </is>
      </c>
      <c r="N195" s="33"/>
      <c r="O195" s="53"/>
    </row>
    <row r="196">
      <c r="A196" s="32" t="inlineStr">
        <is>
          <t>Sant Ramon</t>
        </is>
      </c>
      <c r="B196" s="52" t="n">
        <v>295</v>
      </c>
      <c r="C196" s="53" t="inlineStr">
        <is>
          <t>Baix Llobregat</t>
        </is>
      </c>
      <c r="D196" s="53" t="inlineStr">
        <is>
          <t>Baix Llobregat</t>
        </is>
      </c>
      <c r="E196" s="33" t="inlineStr">
        <is>
          <t>Essencial</t>
        </is>
      </c>
      <c r="F196" s="53" t="n"/>
      <c r="G196" s="33"/>
      <c r="H196" s="54"/>
      <c r="I196" s="53"/>
      <c r="J196" s="55" t="n">
        <v>41.33778</v>
      </c>
      <c r="K196" s="55" t="n">
        <v>2.01118</v>
      </c>
      <c r="L196" s="56" t="inlineStr">
        <is>
          <t>Fitxa ↗</t>
        </is>
      </c>
      <c r="M196" s="56" t="inlineStr">
        <is>
          <t>Mapa ↗</t>
        </is>
      </c>
      <c r="N196" s="33"/>
      <c r="O196" s="53"/>
    </row>
    <row r="197">
      <c r="A197" s="32" t="inlineStr">
        <is>
          <t>Talaia del Montmell</t>
        </is>
      </c>
      <c r="B197" s="52" t="n">
        <v>861</v>
      </c>
      <c r="C197" s="53" t="inlineStr">
        <is>
          <t>Baix Penedès</t>
        </is>
      </c>
      <c r="D197" s="53" t="inlineStr">
        <is>
          <t>Baix Penedès</t>
        </is>
      </c>
      <c r="E197" s="33" t="inlineStr">
        <is>
          <t>Essencial</t>
        </is>
      </c>
      <c r="F197" s="53" t="n"/>
      <c r="G197" s="33"/>
      <c r="H197" s="54"/>
      <c r="I197" s="53"/>
      <c r="J197" s="55" t="n">
        <v>41.33579</v>
      </c>
      <c r="K197" s="55" t="n">
        <v>1.46671</v>
      </c>
      <c r="L197" s="56" t="inlineStr">
        <is>
          <t>Fitxa ↗</t>
        </is>
      </c>
      <c r="M197" s="56" t="inlineStr">
        <is>
          <t>Mapa ↗</t>
        </is>
      </c>
      <c r="N197" s="33"/>
      <c r="O197" s="53"/>
    </row>
    <row r="198">
      <c r="A198" s="32" t="inlineStr">
        <is>
          <t>Puig de la Cova</t>
        </is>
      </c>
      <c r="B198" s="52" t="n">
        <v>672</v>
      </c>
      <c r="C198" s="53" t="inlineStr">
        <is>
          <t>Baix Penedès</t>
        </is>
      </c>
      <c r="D198" s="53" t="inlineStr">
        <is>
          <t>Baix Penedès</t>
        </is>
      </c>
      <c r="E198" s="33" t="inlineStr">
        <is>
          <t>No essencial</t>
        </is>
      </c>
      <c r="F198" s="53" t="n"/>
      <c r="G198" s="33"/>
      <c r="H198" s="54"/>
      <c r="I198" s="53"/>
      <c r="J198" s="55" t="n">
        <v>41.3151</v>
      </c>
      <c r="K198" s="55" t="n">
        <v>1.47511</v>
      </c>
      <c r="L198" s="56" t="inlineStr">
        <is>
          <t>Fitxa ↗</t>
        </is>
      </c>
      <c r="M198" s="56" t="inlineStr">
        <is>
          <t>Mapa ↗</t>
        </is>
      </c>
      <c r="N198" s="33"/>
      <c r="O198" s="53"/>
    </row>
    <row r="199">
      <c r="A199" s="32" t="inlineStr">
        <is>
          <t>Puig Francàs</t>
        </is>
      </c>
      <c r="B199" s="52" t="n">
        <v>551</v>
      </c>
      <c r="C199" s="53" t="inlineStr">
        <is>
          <t>Baix Penedès</t>
        </is>
      </c>
      <c r="D199" s="53" t="inlineStr">
        <is>
          <t>Baix Penedès</t>
        </is>
      </c>
      <c r="E199" s="33" t="inlineStr">
        <is>
          <t>No essencial</t>
        </is>
      </c>
      <c r="F199" s="53" t="n"/>
      <c r="G199" s="33"/>
      <c r="H199" s="54"/>
      <c r="I199" s="53"/>
      <c r="J199" s="55" t="n">
        <v>41.30117</v>
      </c>
      <c r="K199" s="55" t="n">
        <v>1.45889</v>
      </c>
      <c r="L199" s="56" t="inlineStr">
        <is>
          <t>Fitxa ↗</t>
        </is>
      </c>
      <c r="M199" s="56" t="inlineStr">
        <is>
          <t>Mapa ↗</t>
        </is>
      </c>
      <c r="N199" s="33"/>
      <c r="O199" s="53"/>
    </row>
    <row r="200">
      <c r="A200" s="32" t="inlineStr">
        <is>
          <t>Puig de Sant Antoni</t>
        </is>
      </c>
      <c r="B200" s="52" t="n">
        <v>409</v>
      </c>
      <c r="C200" s="53" t="inlineStr">
        <is>
          <t>Baix Penedès</t>
        </is>
      </c>
      <c r="D200" s="53" t="inlineStr">
        <is>
          <t>Baix Penedès</t>
        </is>
      </c>
      <c r="E200" s="33" t="inlineStr">
        <is>
          <t>No essencial</t>
        </is>
      </c>
      <c r="F200" s="53" t="n"/>
      <c r="G200" s="33"/>
      <c r="H200" s="54"/>
      <c r="I200" s="53"/>
      <c r="J200" s="55" t="n">
        <v>41.24371</v>
      </c>
      <c r="K200" s="55" t="n">
        <v>1.47433</v>
      </c>
      <c r="L200" s="56" t="inlineStr">
        <is>
          <t>Fitxa ↗</t>
        </is>
      </c>
      <c r="M200" s="56" t="inlineStr">
        <is>
          <t>Mapa ↗</t>
        </is>
      </c>
      <c r="N200" s="33"/>
      <c r="O200" s="53"/>
    </row>
    <row r="201">
      <c r="A201" s="32" t="inlineStr">
        <is>
          <t>La Mola</t>
        </is>
      </c>
      <c r="B201" s="52" t="n">
        <v>317</v>
      </c>
      <c r="C201" s="53" t="inlineStr">
        <is>
          <t>Baix Penedès</t>
        </is>
      </c>
      <c r="D201" s="53" t="inlineStr">
        <is>
          <t>Baix Penedès, Tarragonès</t>
        </is>
      </c>
      <c r="E201" s="33" t="inlineStr">
        <is>
          <t>Essencial</t>
        </is>
      </c>
      <c r="F201" s="53" t="inlineStr">
        <is>
          <t>Tarragonès</t>
        </is>
      </c>
      <c r="G201" s="33"/>
      <c r="H201" s="54"/>
      <c r="I201" s="53"/>
      <c r="J201" s="55" t="n">
        <v>41.21166</v>
      </c>
      <c r="K201" s="55" t="n">
        <v>1.4173</v>
      </c>
      <c r="L201" s="56" t="inlineStr">
        <is>
          <t>Fitxa ↗</t>
        </is>
      </c>
      <c r="M201" s="56" t="inlineStr">
        <is>
          <t>Mapa ↗</t>
        </is>
      </c>
      <c r="N201" s="33"/>
      <c r="O201" s="53"/>
    </row>
    <row r="202">
      <c r="A202" s="32" t="inlineStr">
        <is>
          <t>Turó de Magarola</t>
        </is>
      </c>
      <c r="B202" s="52" t="n">
        <v>430</v>
      </c>
      <c r="C202" s="53" t="inlineStr">
        <is>
          <t>Barcelonès</t>
        </is>
      </c>
      <c r="D202" s="53" t="inlineStr">
        <is>
          <t>Barcelonès, Vallès Occidental</t>
        </is>
      </c>
      <c r="E202" s="33" t="inlineStr">
        <is>
          <t>Essencial</t>
        </is>
      </c>
      <c r="F202" s="53" t="n"/>
      <c r="G202" s="33"/>
      <c r="H202" s="54"/>
      <c r="I202" s="53"/>
      <c r="J202" s="55" t="n">
        <v>41.44217</v>
      </c>
      <c r="K202" s="55" t="n">
        <v>2.12968</v>
      </c>
      <c r="L202" s="56" t="inlineStr">
        <is>
          <t>Fitxa ↗</t>
        </is>
      </c>
      <c r="M202" s="56" t="inlineStr">
        <is>
          <t>Mapa ↗</t>
        </is>
      </c>
      <c r="N202" s="33"/>
      <c r="O202" s="53"/>
    </row>
    <row r="203">
      <c r="A203" s="32" t="inlineStr">
        <is>
          <t>Puig Castellar</t>
        </is>
      </c>
      <c r="B203" s="52" t="n">
        <v>303</v>
      </c>
      <c r="C203" s="53" t="inlineStr">
        <is>
          <t>Barcelonès</t>
        </is>
      </c>
      <c r="D203" s="53" t="inlineStr">
        <is>
          <t>Barcelonès, Vallès Occidental</t>
        </is>
      </c>
      <c r="E203" s="33" t="inlineStr">
        <is>
          <t>Essencial</t>
        </is>
      </c>
      <c r="F203" s="53" t="n"/>
      <c r="G203" s="33"/>
      <c r="H203" s="54"/>
      <c r="I203" s="53"/>
      <c r="J203" s="55" t="n">
        <v>41.4703</v>
      </c>
      <c r="K203" s="55" t="n">
        <v>2.20659</v>
      </c>
      <c r="L203" s="56" t="inlineStr">
        <is>
          <t>Fitxa ↗</t>
        </is>
      </c>
      <c r="M203" s="56" t="inlineStr">
        <is>
          <t>Mapa ↗</t>
        </is>
      </c>
      <c r="N203" s="33"/>
      <c r="O203" s="53"/>
    </row>
    <row r="204">
      <c r="A204" s="32" t="inlineStr">
        <is>
          <t>Turó d’en Móra (Turó del Carmel)</t>
        </is>
      </c>
      <c r="B204" s="52" t="n">
        <v>266</v>
      </c>
      <c r="C204" s="53" t="inlineStr">
        <is>
          <t>Barcelonès</t>
        </is>
      </c>
      <c r="D204" s="53" t="inlineStr">
        <is>
          <t>Barcelonès</t>
        </is>
      </c>
      <c r="E204" s="33" t="inlineStr">
        <is>
          <t>No essencial</t>
        </is>
      </c>
      <c r="F204" s="53" t="n"/>
      <c r="G204" s="33"/>
      <c r="H204" s="54"/>
      <c r="I204" s="53"/>
      <c r="J204" s="55" t="n">
        <v>41.41844</v>
      </c>
      <c r="K204" s="55" t="n">
        <v>2.15335</v>
      </c>
      <c r="L204" s="56" t="inlineStr">
        <is>
          <t>Fitxa ↗</t>
        </is>
      </c>
      <c r="M204" s="56" t="inlineStr">
        <is>
          <t>Mapa ↗</t>
        </is>
      </c>
      <c r="N204" s="33"/>
      <c r="O204" s="53"/>
    </row>
    <row r="205">
      <c r="A205" s="32" t="inlineStr">
        <is>
          <t>Comabona</t>
        </is>
      </c>
      <c r="B205" s="52" t="n">
        <v>2548</v>
      </c>
      <c r="C205" s="53" t="inlineStr">
        <is>
          <t>Berguedà</t>
        </is>
      </c>
      <c r="D205" s="53" t="inlineStr">
        <is>
          <t>Berguedà, Cerdanya</t>
        </is>
      </c>
      <c r="E205" s="33" t="inlineStr">
        <is>
          <t>Essencial</t>
        </is>
      </c>
      <c r="F205" s="53" t="n"/>
      <c r="G205" s="33"/>
      <c r="H205" s="54"/>
      <c r="I205" s="53"/>
      <c r="J205" s="55" t="n">
        <v>42.28369</v>
      </c>
      <c r="K205" s="55" t="n">
        <v>1.72629</v>
      </c>
      <c r="L205" s="56" t="inlineStr">
        <is>
          <t>Fitxa ↗</t>
        </is>
      </c>
      <c r="M205" s="56" t="inlineStr">
        <is>
          <t>Mapa ↗</t>
        </is>
      </c>
      <c r="N205" s="33"/>
      <c r="O205" s="53"/>
    </row>
    <row r="206">
      <c r="A206" s="32" t="inlineStr">
        <is>
          <t>La Tosa</t>
        </is>
      </c>
      <c r="B206" s="52" t="n">
        <v>2536</v>
      </c>
      <c r="C206" s="53" t="inlineStr">
        <is>
          <t>Berguedà</t>
        </is>
      </c>
      <c r="D206" s="53" t="inlineStr">
        <is>
          <t>Berguedà, Cerdanya</t>
        </is>
      </c>
      <c r="E206" s="33" t="inlineStr">
        <is>
          <t>Essencial</t>
        </is>
      </c>
      <c r="F206" s="53" t="n"/>
      <c r="G206" s="33"/>
      <c r="H206" s="54"/>
      <c r="I206" s="53"/>
      <c r="J206" s="55" t="n">
        <v>42.32058</v>
      </c>
      <c r="K206" s="55" t="n">
        <v>1.89266</v>
      </c>
      <c r="L206" s="56" t="inlineStr">
        <is>
          <t>Fitxa ↗</t>
        </is>
      </c>
      <c r="M206" s="56" t="inlineStr">
        <is>
          <t>Mapa ↗</t>
        </is>
      </c>
      <c r="N206" s="33"/>
      <c r="O206" s="53"/>
    </row>
    <row r="207">
      <c r="A207" s="32" t="inlineStr">
        <is>
          <t>Pollegó Superior (Pedraforca)</t>
        </is>
      </c>
      <c r="B207" s="52" t="n">
        <v>2506</v>
      </c>
      <c r="C207" s="53" t="inlineStr">
        <is>
          <t>Berguedà</t>
        </is>
      </c>
      <c r="D207" s="53" t="inlineStr">
        <is>
          <t>Berguedà</t>
        </is>
      </c>
      <c r="E207" s="33" t="inlineStr">
        <is>
          <t>Essencial</t>
        </is>
      </c>
      <c r="F207" s="53" t="n"/>
      <c r="G207" s="33"/>
      <c r="H207" s="54"/>
      <c r="I207" s="53"/>
      <c r="J207" s="55" t="n">
        <v>42.23995</v>
      </c>
      <c r="K207" s="55" t="n">
        <v>1.70293</v>
      </c>
      <c r="L207" s="56" t="inlineStr">
        <is>
          <t>Fitxa ↗</t>
        </is>
      </c>
      <c r="M207" s="56" t="inlineStr">
        <is>
          <t>Mapa ↗</t>
        </is>
      </c>
      <c r="N207" s="33"/>
      <c r="O207" s="53"/>
    </row>
    <row r="208">
      <c r="A208" s="32" t="inlineStr">
        <is>
          <t>Pollegó Inferior (Pedraforca)</t>
        </is>
      </c>
      <c r="B208" s="52" t="n">
        <v>2445</v>
      </c>
      <c r="C208" s="53" t="inlineStr">
        <is>
          <t>Berguedà</t>
        </is>
      </c>
      <c r="D208" s="53" t="inlineStr">
        <is>
          <t>Berguedà</t>
        </is>
      </c>
      <c r="E208" s="33" t="inlineStr">
        <is>
          <t>No essencial</t>
        </is>
      </c>
      <c r="F208" s="53" t="n"/>
      <c r="G208" s="33"/>
      <c r="H208" s="54"/>
      <c r="I208" s="53"/>
      <c r="J208" s="55" t="n">
        <v>42.23563</v>
      </c>
      <c r="K208" s="55" t="n">
        <v>1.70702</v>
      </c>
      <c r="L208" s="56" t="inlineStr">
        <is>
          <t>Fitxa ↗</t>
        </is>
      </c>
      <c r="M208" s="56" t="inlineStr">
        <is>
          <t>Mapa ↗</t>
        </is>
      </c>
      <c r="N208" s="33"/>
      <c r="O208" s="53"/>
    </row>
    <row r="209">
      <c r="A209" s="32" t="inlineStr">
        <is>
          <t>Puigllançada</t>
        </is>
      </c>
      <c r="B209" s="52" t="n">
        <v>2409</v>
      </c>
      <c r="C209" s="53" t="inlineStr">
        <is>
          <t>Berguedà</t>
        </is>
      </c>
      <c r="D209" s="53" t="inlineStr">
        <is>
          <t>Berguedà</t>
        </is>
      </c>
      <c r="E209" s="33" t="inlineStr">
        <is>
          <t>No essencial</t>
        </is>
      </c>
      <c r="F209" s="53" t="n"/>
      <c r="G209" s="33"/>
      <c r="H209" s="54"/>
      <c r="I209" s="53"/>
      <c r="J209" s="55" t="n">
        <v>42.30048</v>
      </c>
      <c r="K209" s="55" t="n">
        <v>1.93553</v>
      </c>
      <c r="L209" s="56" t="inlineStr">
        <is>
          <t>Fitxa ↗</t>
        </is>
      </c>
      <c r="M209" s="56" t="inlineStr">
        <is>
          <t>Mapa ↗</t>
        </is>
      </c>
      <c r="N209" s="33"/>
      <c r="O209" s="53"/>
    </row>
    <row r="210">
      <c r="A210" s="32" t="inlineStr">
        <is>
          <t>Cap de la Gallina Pelada</t>
        </is>
      </c>
      <c r="B210" s="52" t="n">
        <v>2321</v>
      </c>
      <c r="C210" s="53" t="inlineStr">
        <is>
          <t>Berguedà</t>
        </is>
      </c>
      <c r="D210" s="53" t="inlineStr">
        <is>
          <t>Berguedà</t>
        </is>
      </c>
      <c r="E210" s="33" t="inlineStr">
        <is>
          <t>Essencial</t>
        </is>
      </c>
      <c r="F210" s="53" t="n"/>
      <c r="G210" s="33"/>
      <c r="H210" s="54"/>
      <c r="I210" s="53"/>
      <c r="J210" s="55" t="n">
        <v>42.18943</v>
      </c>
      <c r="K210" s="55" t="n">
        <v>1.73804</v>
      </c>
      <c r="L210" s="56" t="inlineStr">
        <is>
          <t>Fitxa ↗</t>
        </is>
      </c>
      <c r="M210" s="56" t="inlineStr">
        <is>
          <t>Mapa ↗</t>
        </is>
      </c>
      <c r="N210" s="33"/>
      <c r="O210" s="53"/>
    </row>
    <row r="211">
      <c r="A211" s="32" t="inlineStr">
        <is>
          <t>Serrat Voltor</t>
        </is>
      </c>
      <c r="B211" s="52" t="n">
        <v>2282</v>
      </c>
      <c r="C211" s="53" t="inlineStr">
        <is>
          <t>Berguedà</t>
        </is>
      </c>
      <c r="D211" s="53" t="inlineStr">
        <is>
          <t>Berguedà</t>
        </is>
      </c>
      <c r="E211" s="33" t="inlineStr">
        <is>
          <t>No essencial</t>
        </is>
      </c>
      <c r="F211" s="53" t="n"/>
      <c r="G211" s="33"/>
      <c r="H211" s="54"/>
      <c r="I211" s="53"/>
      <c r="J211" s="55" t="n">
        <v>42.18812</v>
      </c>
      <c r="K211" s="55" t="n">
        <v>1.77702</v>
      </c>
      <c r="L211" s="56" t="inlineStr">
        <is>
          <t>Fitxa ↗</t>
        </is>
      </c>
      <c r="M211" s="56" t="inlineStr">
        <is>
          <t>Mapa ↗</t>
        </is>
      </c>
      <c r="N211" s="33"/>
      <c r="O211" s="53"/>
    </row>
    <row r="212">
      <c r="A212" s="32" t="inlineStr">
        <is>
          <t>Penyes Altes</t>
        </is>
      </c>
      <c r="B212" s="52" t="n">
        <v>2276</v>
      </c>
      <c r="C212" s="53" t="inlineStr">
        <is>
          <t>Berguedà</t>
        </is>
      </c>
      <c r="D212" s="53" t="inlineStr">
        <is>
          <t>Berguedà, Cerdanya</t>
        </is>
      </c>
      <c r="E212" s="33" t="inlineStr">
        <is>
          <t>Essencial</t>
        </is>
      </c>
      <c r="F212" s="53" t="n"/>
      <c r="G212" s="33"/>
      <c r="H212" s="54"/>
      <c r="I212" s="53"/>
      <c r="J212" s="55" t="n">
        <v>42.3063</v>
      </c>
      <c r="K212" s="55" t="n">
        <v>1.84247</v>
      </c>
      <c r="L212" s="56" t="inlineStr">
        <is>
          <t>Fitxa ↗</t>
        </is>
      </c>
      <c r="M212" s="56" t="inlineStr">
        <is>
          <t>Mapa ↗</t>
        </is>
      </c>
      <c r="N212" s="33"/>
      <c r="O212" s="53"/>
    </row>
    <row r="213">
      <c r="A213" s="32" t="inlineStr">
        <is>
          <t>la Creueta</t>
        </is>
      </c>
      <c r="B213" s="52" t="n">
        <v>2067</v>
      </c>
      <c r="C213" s="53" t="inlineStr">
        <is>
          <t>Berguedà</t>
        </is>
      </c>
      <c r="D213" s="53" t="inlineStr">
        <is>
          <t>Berguedà, Ripollès</t>
        </is>
      </c>
      <c r="E213" s="33" t="inlineStr">
        <is>
          <t>No essencial</t>
        </is>
      </c>
      <c r="F213" s="53" t="n"/>
      <c r="G213" s="33"/>
      <c r="H213" s="54"/>
      <c r="I213" s="53"/>
      <c r="J213" s="55" t="n">
        <v>42.30555</v>
      </c>
      <c r="K213" s="55" t="n">
        <v>2.0023</v>
      </c>
      <c r="L213" s="56" t="inlineStr">
        <is>
          <t>Fitxa ↗</t>
        </is>
      </c>
      <c r="M213" s="56" t="inlineStr">
        <is>
          <t>Mapa ↗</t>
        </is>
      </c>
      <c r="N213" s="33"/>
      <c r="O213" s="53"/>
    </row>
    <row r="214">
      <c r="A214" s="32" t="inlineStr">
        <is>
          <t>Cogulló d’Estela</t>
        </is>
      </c>
      <c r="B214" s="52" t="n">
        <v>1870</v>
      </c>
      <c r="C214" s="53" t="inlineStr">
        <is>
          <t>Berguedà</t>
        </is>
      </c>
      <c r="D214" s="53" t="inlineStr">
        <is>
          <t>Berguedà</t>
        </is>
      </c>
      <c r="E214" s="33" t="inlineStr">
        <is>
          <t>Essencial</t>
        </is>
      </c>
      <c r="F214" s="53" t="n"/>
      <c r="G214" s="33"/>
      <c r="H214" s="54"/>
      <c r="I214" s="53"/>
      <c r="J214" s="55" t="n">
        <v>42.12161</v>
      </c>
      <c r="K214" s="55" t="n">
        <v>1.78709</v>
      </c>
      <c r="L214" s="56" t="inlineStr">
        <is>
          <t>Fitxa ↗</t>
        </is>
      </c>
      <c r="M214" s="56" t="inlineStr">
        <is>
          <t>Mapa ↗</t>
        </is>
      </c>
      <c r="N214" s="33"/>
      <c r="O214" s="53"/>
    </row>
    <row r="215">
      <c r="A215" s="32" t="inlineStr">
        <is>
          <t>Cap de la Boixassa</t>
        </is>
      </c>
      <c r="B215" s="52" t="n">
        <v>1820</v>
      </c>
      <c r="C215" s="53" t="inlineStr">
        <is>
          <t>Berguedà</t>
        </is>
      </c>
      <c r="D215" s="53" t="inlineStr">
        <is>
          <t>Berguedà</t>
        </is>
      </c>
      <c r="E215" s="33" t="inlineStr">
        <is>
          <t>No essencial</t>
        </is>
      </c>
      <c r="F215" s="53" t="n"/>
      <c r="G215" s="33"/>
      <c r="H215" s="54"/>
      <c r="I215" s="53"/>
      <c r="J215" s="55" t="n">
        <v>42.28856</v>
      </c>
      <c r="K215" s="55" t="n">
        <v>1.79862</v>
      </c>
      <c r="L215" s="56" t="inlineStr">
        <is>
          <t>Fitxa ↗</t>
        </is>
      </c>
      <c r="M215" s="56" t="inlineStr">
        <is>
          <t>Mapa ↗</t>
        </is>
      </c>
      <c r="N215" s="33"/>
      <c r="O215" s="53"/>
    </row>
    <row r="216">
      <c r="A216" s="32" t="inlineStr">
        <is>
          <t>Sobrepuny</t>
        </is>
      </c>
      <c r="B216" s="52" t="n">
        <v>1653</v>
      </c>
      <c r="C216" s="53" t="inlineStr">
        <is>
          <t>Berguedà</t>
        </is>
      </c>
      <c r="D216" s="53" t="inlineStr">
        <is>
          <t>Berguedà</t>
        </is>
      </c>
      <c r="E216" s="33" t="inlineStr">
        <is>
          <t>No essencial</t>
        </is>
      </c>
      <c r="F216" s="53" t="n"/>
      <c r="G216" s="33"/>
      <c r="H216" s="54"/>
      <c r="I216" s="53"/>
      <c r="J216" s="55" t="n">
        <v>42.16772</v>
      </c>
      <c r="K216" s="55" t="n">
        <v>1.91071</v>
      </c>
      <c r="L216" s="56" t="inlineStr">
        <is>
          <t>Fitxa ↗</t>
        </is>
      </c>
      <c r="M216" s="56" t="inlineStr">
        <is>
          <t>Mapa ↗</t>
        </is>
      </c>
      <c r="N216" s="33"/>
      <c r="O216" s="53"/>
    </row>
    <row r="217">
      <c r="A217" s="32" t="inlineStr">
        <is>
          <t>Roca del Joc (Roca de la Devesa Jussana)</t>
        </is>
      </c>
      <c r="B217" s="52" t="n">
        <v>1615</v>
      </c>
      <c r="C217" s="53" t="inlineStr">
        <is>
          <t>Berguedà</t>
        </is>
      </c>
      <c r="D217" s="53" t="inlineStr">
        <is>
          <t>Berguedà</t>
        </is>
      </c>
      <c r="E217" s="33" t="inlineStr">
        <is>
          <t>No essencial</t>
        </is>
      </c>
      <c r="F217" s="53" t="n"/>
      <c r="G217" s="33"/>
      <c r="H217" s="54"/>
      <c r="I217" s="53"/>
      <c r="J217" s="55" t="n">
        <v>42.21519</v>
      </c>
      <c r="K217" s="55" t="n">
        <v>1.96373</v>
      </c>
      <c r="L217" s="56" t="inlineStr">
        <is>
          <t>Fitxa ↗</t>
        </is>
      </c>
      <c r="M217" s="56" t="inlineStr">
        <is>
          <t>Mapa ↗</t>
        </is>
      </c>
      <c r="N217" s="33"/>
      <c r="O217" s="53"/>
    </row>
    <row r="218">
      <c r="A218" s="32" t="inlineStr">
        <is>
          <t>Sant Marc de Brocà</t>
        </is>
      </c>
      <c r="B218" s="52" t="n">
        <v>1611</v>
      </c>
      <c r="C218" s="53" t="inlineStr">
        <is>
          <t>Berguedà</t>
        </is>
      </c>
      <c r="D218" s="53" t="inlineStr">
        <is>
          <t>Berguedà</t>
        </is>
      </c>
      <c r="E218" s="33" t="inlineStr">
        <is>
          <t>No essencial</t>
        </is>
      </c>
      <c r="F218" s="53" t="n"/>
      <c r="G218" s="33"/>
      <c r="H218" s="54"/>
      <c r="I218" s="53"/>
      <c r="J218" s="55" t="n">
        <v>42.26493</v>
      </c>
      <c r="K218" s="55" t="n">
        <v>1.89874</v>
      </c>
      <c r="L218" s="56" t="inlineStr">
        <is>
          <t>Fitxa ↗</t>
        </is>
      </c>
      <c r="M218" s="56" t="inlineStr">
        <is>
          <t>Mapa ↗</t>
        </is>
      </c>
      <c r="N218" s="33"/>
      <c r="O218" s="53"/>
    </row>
    <row r="219">
      <c r="A219" s="32" t="inlineStr">
        <is>
          <t>Pedró de Tubau</t>
        </is>
      </c>
      <c r="B219" s="52" t="n">
        <v>1543</v>
      </c>
      <c r="C219" s="53" t="inlineStr">
        <is>
          <t>Berguedà</t>
        </is>
      </c>
      <c r="D219" s="53" t="inlineStr">
        <is>
          <t>Berguedà, Ripollès</t>
        </is>
      </c>
      <c r="E219" s="33" t="inlineStr">
        <is>
          <t>No essencial</t>
        </is>
      </c>
      <c r="F219" s="53" t="n"/>
      <c r="G219" s="33"/>
      <c r="H219" s="54"/>
      <c r="I219" s="53"/>
      <c r="J219" s="55" t="n">
        <v>42.2202</v>
      </c>
      <c r="K219" s="55" t="n">
        <v>2.04957</v>
      </c>
      <c r="L219" s="56" t="inlineStr">
        <is>
          <t>Fitxa ↗</t>
        </is>
      </c>
      <c r="M219" s="56" t="inlineStr">
        <is>
          <t>Mapa ↗</t>
        </is>
      </c>
      <c r="N219" s="33"/>
      <c r="O219" s="53"/>
    </row>
    <row r="220">
      <c r="A220" s="32" t="inlineStr">
        <is>
          <t>Els Tossals</t>
        </is>
      </c>
      <c r="B220" s="52" t="n">
        <v>1525</v>
      </c>
      <c r="C220" s="53" t="inlineStr">
        <is>
          <t>Berguedà</t>
        </is>
      </c>
      <c r="D220" s="53" t="inlineStr">
        <is>
          <t>Berguedà</t>
        </is>
      </c>
      <c r="E220" s="33" t="inlineStr">
        <is>
          <t>No essencial</t>
        </is>
      </c>
      <c r="F220" s="53" t="n"/>
      <c r="G220" s="33"/>
      <c r="H220" s="54"/>
      <c r="I220" s="53"/>
      <c r="J220" s="55" t="n">
        <v>42.08925</v>
      </c>
      <c r="K220" s="55" t="n">
        <v>1.72743</v>
      </c>
      <c r="L220" s="56" t="inlineStr">
        <is>
          <t>Fitxa ↗</t>
        </is>
      </c>
      <c r="M220" s="56" t="inlineStr">
        <is>
          <t>Mapa ↗</t>
        </is>
      </c>
      <c r="N220" s="33"/>
      <c r="O220" s="53"/>
    </row>
    <row r="221">
      <c r="A221" s="32" t="inlineStr">
        <is>
          <t>Tossal de les Viudes</t>
        </is>
      </c>
      <c r="B221" s="52" t="n">
        <v>1379</v>
      </c>
      <c r="C221" s="53" t="inlineStr">
        <is>
          <t>Berguedà</t>
        </is>
      </c>
      <c r="D221" s="53" t="inlineStr">
        <is>
          <t>Berguedà, Solsonès</t>
        </is>
      </c>
      <c r="E221" s="33" t="inlineStr">
        <is>
          <t>No essencial</t>
        </is>
      </c>
      <c r="F221" s="53" t="n"/>
      <c r="G221" s="33"/>
      <c r="H221" s="54"/>
      <c r="I221" s="53"/>
      <c r="J221" s="55" t="n">
        <v>42.11475</v>
      </c>
      <c r="K221" s="55" t="n">
        <v>1.65923</v>
      </c>
      <c r="L221" s="56" t="inlineStr">
        <is>
          <t>Fitxa ↗</t>
        </is>
      </c>
      <c r="M221" s="56" t="inlineStr">
        <is>
          <t>Mapa ↗</t>
        </is>
      </c>
      <c r="N221" s="33"/>
      <c r="O221" s="53"/>
    </row>
    <row r="222">
      <c r="A222" s="32" t="inlineStr">
        <is>
          <t>Tossal Llisol</t>
        </is>
      </c>
      <c r="B222" s="52" t="n">
        <v>1326</v>
      </c>
      <c r="C222" s="53" t="inlineStr">
        <is>
          <t>Berguedà</t>
        </is>
      </c>
      <c r="D222" s="53" t="inlineStr">
        <is>
          <t>Berguedà</t>
        </is>
      </c>
      <c r="E222" s="33" t="inlineStr">
        <is>
          <t>No essencial</t>
        </is>
      </c>
      <c r="F222" s="53" t="n"/>
      <c r="G222" s="33"/>
      <c r="H222" s="54"/>
      <c r="I222" s="53"/>
      <c r="J222" s="55" t="n">
        <v>42.20115</v>
      </c>
      <c r="K222" s="55" t="n">
        <v>1.84353</v>
      </c>
      <c r="L222" s="56" t="inlineStr">
        <is>
          <t>Fitxa ↗</t>
        </is>
      </c>
      <c r="M222" s="56" t="inlineStr">
        <is>
          <t>Mapa ↗</t>
        </is>
      </c>
      <c r="N222" s="33"/>
      <c r="O222" s="53"/>
    </row>
    <row r="223">
      <c r="A223" s="32" t="inlineStr">
        <is>
          <t>Salga Aguda</t>
        </is>
      </c>
      <c r="B223" s="52" t="n">
        <v>1172</v>
      </c>
      <c r="C223" s="53" t="inlineStr">
        <is>
          <t>Berguedà</t>
        </is>
      </c>
      <c r="D223" s="53" t="inlineStr">
        <is>
          <t>Berguedà</t>
        </is>
      </c>
      <c r="E223" s="33" t="inlineStr">
        <is>
          <t>No essencial</t>
        </is>
      </c>
      <c r="F223" s="53" t="n"/>
      <c r="G223" s="33"/>
      <c r="H223" s="54"/>
      <c r="I223" s="53"/>
      <c r="J223" s="55" t="n">
        <v>42.11925</v>
      </c>
      <c r="K223" s="55" t="n">
        <v>1.95141</v>
      </c>
      <c r="L223" s="56" t="inlineStr">
        <is>
          <t>Fitxa ↗</t>
        </is>
      </c>
      <c r="M223" s="56" t="inlineStr">
        <is>
          <t>Mapa ↗</t>
        </is>
      </c>
      <c r="N223" s="33"/>
      <c r="O223" s="53"/>
    </row>
    <row r="224">
      <c r="A224" s="32" t="inlineStr">
        <is>
          <t>Sant Salvador</t>
        </is>
      </c>
      <c r="B224" s="52" t="n">
        <v>1157</v>
      </c>
      <c r="C224" s="53" t="inlineStr">
        <is>
          <t>Berguedà</t>
        </is>
      </c>
      <c r="D224" s="53" t="inlineStr">
        <is>
          <t>Berguedà</t>
        </is>
      </c>
      <c r="E224" s="33" t="inlineStr">
        <is>
          <t>No essencial</t>
        </is>
      </c>
      <c r="F224" s="53" t="n"/>
      <c r="G224" s="33"/>
      <c r="H224" s="54"/>
      <c r="I224" s="53"/>
      <c r="J224" s="55" t="n">
        <v>42.06136</v>
      </c>
      <c r="K224" s="55" t="n">
        <v>1.78198</v>
      </c>
      <c r="L224" s="56" t="inlineStr">
        <is>
          <t>Fitxa ↗</t>
        </is>
      </c>
      <c r="M224" s="56" t="inlineStr">
        <is>
          <t>Mapa ↗</t>
        </is>
      </c>
      <c r="N224" s="33"/>
      <c r="O224" s="53"/>
    </row>
    <row r="225">
      <c r="A225" s="32" t="inlineStr">
        <is>
          <t>Serrat de Sant Isidre</t>
        </is>
      </c>
      <c r="B225" s="52" t="n">
        <v>1117</v>
      </c>
      <c r="C225" s="53" t="inlineStr">
        <is>
          <t>Berguedà</t>
        </is>
      </c>
      <c r="D225" s="53" t="inlineStr">
        <is>
          <t>Berguedà</t>
        </is>
      </c>
      <c r="E225" s="33" t="inlineStr">
        <is>
          <t>No essencial</t>
        </is>
      </c>
      <c r="F225" s="53" t="n"/>
      <c r="G225" s="33"/>
      <c r="H225" s="54"/>
      <c r="I225" s="53"/>
      <c r="J225" s="55" t="n">
        <v>42.09051</v>
      </c>
      <c r="K225" s="55" t="n">
        <v>1.96199</v>
      </c>
      <c r="L225" s="56" t="inlineStr">
        <is>
          <t>Fitxa ↗</t>
        </is>
      </c>
      <c r="M225" s="56" t="inlineStr">
        <is>
          <t>Mapa ↗</t>
        </is>
      </c>
      <c r="N225" s="33"/>
      <c r="O225" s="53"/>
    </row>
    <row r="226">
      <c r="A226" s="32" t="inlineStr">
        <is>
          <t>Serrat de Migdia (Serrat de Picancel)</t>
        </is>
      </c>
      <c r="B226" s="52" t="n">
        <v>1082</v>
      </c>
      <c r="C226" s="53" t="inlineStr">
        <is>
          <t>Berguedà</t>
        </is>
      </c>
      <c r="D226" s="53" t="inlineStr">
        <is>
          <t>Berguedà</t>
        </is>
      </c>
      <c r="E226" s="33" t="inlineStr">
        <is>
          <t>No essencial</t>
        </is>
      </c>
      <c r="F226" s="53" t="n"/>
      <c r="G226" s="33"/>
      <c r="H226" s="54"/>
      <c r="I226" s="53"/>
      <c r="J226" s="55" t="n">
        <v>42.11816</v>
      </c>
      <c r="K226" s="55" t="n">
        <v>1.93165</v>
      </c>
      <c r="L226" s="56" t="inlineStr">
        <is>
          <t>Fitxa ↗</t>
        </is>
      </c>
      <c r="M226" s="56" t="inlineStr">
        <is>
          <t>Mapa ↗</t>
        </is>
      </c>
      <c r="N226" s="33"/>
      <c r="O226" s="53"/>
    </row>
    <row r="227">
      <c r="A227" s="32" t="inlineStr">
        <is>
          <t>Montsent (Serrat de Picancel)</t>
        </is>
      </c>
      <c r="B227" s="52" t="n">
        <v>963</v>
      </c>
      <c r="C227" s="53" t="inlineStr">
        <is>
          <t>Berguedà</t>
        </is>
      </c>
      <c r="D227" s="53" t="inlineStr">
        <is>
          <t>Berguedà</t>
        </is>
      </c>
      <c r="E227" s="33" t="inlineStr">
        <is>
          <t>No essencial</t>
        </is>
      </c>
      <c r="F227" s="53" t="n"/>
      <c r="G227" s="33"/>
      <c r="H227" s="54"/>
      <c r="I227" s="53"/>
      <c r="J227" s="55" t="n">
        <v>42.09578</v>
      </c>
      <c r="K227" s="55" t="n">
        <v>1.90824</v>
      </c>
      <c r="L227" s="56" t="inlineStr">
        <is>
          <t>Fitxa ↗</t>
        </is>
      </c>
      <c r="M227" s="56" t="inlineStr">
        <is>
          <t>Mapa ↗</t>
        </is>
      </c>
      <c r="N227" s="33"/>
      <c r="O227" s="53"/>
    </row>
    <row r="228">
      <c r="A228" s="32" t="inlineStr">
        <is>
          <t>Serrat de la Madrona</t>
        </is>
      </c>
      <c r="B228" s="52" t="n">
        <v>682</v>
      </c>
      <c r="C228" s="53" t="inlineStr">
        <is>
          <t>Berguedà</t>
        </is>
      </c>
      <c r="D228" s="53" t="inlineStr">
        <is>
          <t>Berguedà</t>
        </is>
      </c>
      <c r="E228" s="33" t="inlineStr">
        <is>
          <t>No essencial</t>
        </is>
      </c>
      <c r="F228" s="53" t="n"/>
      <c r="G228" s="33"/>
      <c r="H228" s="54"/>
      <c r="I228" s="53"/>
      <c r="J228" s="55" t="n">
        <v>41.99049</v>
      </c>
      <c r="K228" s="55" t="n">
        <v>1.84337</v>
      </c>
      <c r="L228" s="56" t="inlineStr">
        <is>
          <t>Fitxa ↗</t>
        </is>
      </c>
      <c r="M228" s="56" t="inlineStr">
        <is>
          <t>Mapa ↗</t>
        </is>
      </c>
      <c r="N228" s="33"/>
      <c r="O228" s="53"/>
    </row>
    <row r="229">
      <c r="A229" s="32" t="inlineStr">
        <is>
          <t>Puig Peric</t>
        </is>
      </c>
      <c r="B229" s="52" t="n">
        <v>2810</v>
      </c>
      <c r="C229" s="53" t="inlineStr">
        <is>
          <t>Capcir</t>
        </is>
      </c>
      <c r="D229" s="53" t="inlineStr">
        <is>
          <t>Capcir, Cerdanya Nord</t>
        </is>
      </c>
      <c r="E229" s="33" t="inlineStr">
        <is>
          <t>Essencial</t>
        </is>
      </c>
      <c r="F229" s="53" t="n"/>
      <c r="G229" s="33"/>
      <c r="H229" s="54"/>
      <c r="I229" s="53"/>
      <c r="J229" s="55" t="n">
        <v>42.61363</v>
      </c>
      <c r="K229" s="55" t="n">
        <v>1.98445</v>
      </c>
      <c r="L229" s="56" t="inlineStr">
        <is>
          <t>Fitxa ↗</t>
        </is>
      </c>
      <c r="M229" s="56" t="inlineStr">
        <is>
          <t>Mapa ↗</t>
        </is>
      </c>
      <c r="N229" s="33"/>
      <c r="O229" s="53"/>
    </row>
    <row r="230">
      <c r="A230" s="32" t="inlineStr">
        <is>
          <t>Pic de Baixollada</t>
        </is>
      </c>
      <c r="B230" s="52" t="n">
        <v>2546</v>
      </c>
      <c r="C230" s="53" t="inlineStr">
        <is>
          <t>Capcir</t>
        </is>
      </c>
      <c r="D230" s="53" t="inlineStr">
        <is>
          <t>Capcir</t>
        </is>
      </c>
      <c r="E230" s="33" t="inlineStr">
        <is>
          <t>No essencial</t>
        </is>
      </c>
      <c r="F230" s="53" t="n"/>
      <c r="G230" s="33"/>
      <c r="H230" s="54"/>
      <c r="I230" s="53"/>
      <c r="J230" s="55" t="n">
        <v>42.66111</v>
      </c>
      <c r="K230" s="55" t="n">
        <v>2.00222</v>
      </c>
      <c r="L230" s="56" t="inlineStr">
        <is>
          <t>Fitxa ↗</t>
        </is>
      </c>
      <c r="M230" s="56" t="inlineStr">
        <is>
          <t>Mapa ↗</t>
        </is>
      </c>
      <c r="N230" s="33"/>
      <c r="O230" s="53"/>
    </row>
    <row r="231">
      <c r="A231" s="32" t="inlineStr">
        <is>
          <t>Puig del Pam</t>
        </is>
      </c>
      <c r="B231" s="52" t="n">
        <v>2470</v>
      </c>
      <c r="C231" s="53" t="inlineStr">
        <is>
          <t>Capcir</t>
        </is>
      </c>
      <c r="D231" s="53" t="inlineStr">
        <is>
          <t>Capcir</t>
        </is>
      </c>
      <c r="E231" s="33" t="inlineStr">
        <is>
          <t>No essencial</t>
        </is>
      </c>
      <c r="F231" s="53" t="n"/>
      <c r="G231" s="33"/>
      <c r="H231" s="54"/>
      <c r="I231" s="53"/>
      <c r="J231" s="55" t="n">
        <v>42.60482</v>
      </c>
      <c r="K231" s="55" t="n">
        <v>2.03104</v>
      </c>
      <c r="L231" s="56" t="inlineStr">
        <is>
          <t>Fitxa ↗</t>
        </is>
      </c>
      <c r="M231" s="56" t="inlineStr">
        <is>
          <t>Mapa ↗</t>
        </is>
      </c>
      <c r="N231" s="33"/>
      <c r="O231" s="53"/>
    </row>
    <row r="232">
      <c r="A232" s="32" t="inlineStr">
        <is>
          <t>Puigpedrós</t>
        </is>
      </c>
      <c r="B232" s="52" t="n">
        <v>2915</v>
      </c>
      <c r="C232" s="53" t="inlineStr">
        <is>
          <t>Cerdanya</t>
        </is>
      </c>
      <c r="D232" s="53" t="inlineStr">
        <is>
          <t>Cerdanya, Cerdanya Nord</t>
        </is>
      </c>
      <c r="E232" s="33" t="inlineStr">
        <is>
          <t>Essencial</t>
        </is>
      </c>
      <c r="F232" s="53" t="inlineStr">
        <is>
          <t>Cerdanya</t>
        </is>
      </c>
      <c r="G232" s="33"/>
      <c r="H232" s="54"/>
      <c r="I232" s="53"/>
      <c r="J232" s="55" t="n">
        <v>42.48758</v>
      </c>
      <c r="K232" s="55" t="n">
        <v>1.76193</v>
      </c>
      <c r="L232" s="56" t="inlineStr">
        <is>
          <t>Fitxa ↗</t>
        </is>
      </c>
      <c r="M232" s="56" t="inlineStr">
        <is>
          <t>Mapa ↗</t>
        </is>
      </c>
      <c r="N232" s="33"/>
      <c r="O232" s="53"/>
    </row>
    <row r="233">
      <c r="A233" s="32" t="inlineStr">
        <is>
          <t>Pic de Calm Colomer (tosseta de l’Esquella)</t>
        </is>
      </c>
      <c r="B233" s="52" t="n">
        <v>2869</v>
      </c>
      <c r="C233" s="53" t="inlineStr">
        <is>
          <t>Cerdanya</t>
        </is>
      </c>
      <c r="D233" s="53" t="inlineStr">
        <is>
          <t>Cerdanya, Cerdanya Nord</t>
        </is>
      </c>
      <c r="E233" s="33" t="inlineStr">
        <is>
          <t>No essencial</t>
        </is>
      </c>
      <c r="F233" s="53" t="n"/>
      <c r="G233" s="33"/>
      <c r="H233" s="54"/>
      <c r="I233" s="53"/>
      <c r="J233" s="55" t="n">
        <v>42.49238</v>
      </c>
      <c r="K233" s="55" t="n">
        <v>1.73006</v>
      </c>
      <c r="L233" s="56" t="inlineStr">
        <is>
          <t>Fitxa ↗</t>
        </is>
      </c>
      <c r="M233" s="56" t="inlineStr">
        <is>
          <t>Mapa ↗</t>
        </is>
      </c>
      <c r="N233" s="33"/>
      <c r="O233" s="53"/>
    </row>
    <row r="234">
      <c r="A234" s="32" t="inlineStr">
        <is>
          <t>La Muga</t>
        </is>
      </c>
      <c r="B234" s="52" t="n">
        <v>2861</v>
      </c>
      <c r="C234" s="53" t="inlineStr">
        <is>
          <t>Cerdanya</t>
        </is>
      </c>
      <c r="D234" s="53" t="inlineStr">
        <is>
          <t>Cerdanya</t>
        </is>
      </c>
      <c r="E234" s="33" t="inlineStr">
        <is>
          <t>Essencial</t>
        </is>
      </c>
      <c r="F234" s="53" t="n"/>
      <c r="G234" s="33"/>
      <c r="H234" s="54"/>
      <c r="I234" s="53"/>
      <c r="J234" s="55" t="n">
        <v>42.47476</v>
      </c>
      <c r="K234" s="55" t="n">
        <v>1.67761</v>
      </c>
      <c r="L234" s="56" t="inlineStr">
        <is>
          <t>Fitxa ↗</t>
        </is>
      </c>
      <c r="M234" s="56" t="inlineStr">
        <is>
          <t>Mapa ↗</t>
        </is>
      </c>
      <c r="N234" s="33"/>
      <c r="O234" s="53"/>
    </row>
    <row r="235">
      <c r="A235" s="32" t="inlineStr">
        <is>
          <t>Tossal Bovinar</t>
        </is>
      </c>
      <c r="B235" s="52" t="n">
        <v>2842</v>
      </c>
      <c r="C235" s="53" t="inlineStr">
        <is>
          <t>Cerdanya</t>
        </is>
      </c>
      <c r="D235" s="53" t="inlineStr">
        <is>
          <t>Cerdanya</t>
        </is>
      </c>
      <c r="E235" s="33" t="inlineStr">
        <is>
          <t>No essencial</t>
        </is>
      </c>
      <c r="F235" s="53" t="n"/>
      <c r="G235" s="33"/>
      <c r="H235" s="54"/>
      <c r="I235" s="53"/>
      <c r="J235" s="55" t="n">
        <v>42.46275</v>
      </c>
      <c r="K235" s="55" t="n">
        <v>1.63167</v>
      </c>
      <c r="L235" s="56" t="inlineStr">
        <is>
          <t>Fitxa ↗</t>
        </is>
      </c>
      <c r="M235" s="56" t="inlineStr">
        <is>
          <t>Mapa ↗</t>
        </is>
      </c>
      <c r="N235" s="33"/>
      <c r="O235" s="53"/>
    </row>
    <row r="236">
      <c r="A236" s="32" t="inlineStr">
        <is>
          <t>La Carabassa</t>
        </is>
      </c>
      <c r="B236" s="52" t="n">
        <v>2740</v>
      </c>
      <c r="C236" s="53" t="inlineStr">
        <is>
          <t>Cerdanya</t>
        </is>
      </c>
      <c r="D236" s="53" t="inlineStr">
        <is>
          <t>Cerdanya</t>
        </is>
      </c>
      <c r="E236" s="33" t="inlineStr">
        <is>
          <t>Essencial</t>
        </is>
      </c>
      <c r="F236" s="53" t="n"/>
      <c r="G236" s="33"/>
      <c r="H236" s="54"/>
      <c r="I236" s="53"/>
      <c r="J236" s="55" t="n">
        <v>42.45798</v>
      </c>
      <c r="K236" s="55" t="n">
        <v>1.72717</v>
      </c>
      <c r="L236" s="56" t="inlineStr">
        <is>
          <t>Fitxa ↗</t>
        </is>
      </c>
      <c r="M236" s="56" t="inlineStr">
        <is>
          <t>Mapa ↗</t>
        </is>
      </c>
      <c r="N236" s="33"/>
      <c r="O236" s="53"/>
    </row>
    <row r="237">
      <c r="A237" s="32" t="inlineStr">
        <is>
          <t>Tossal Gros (Pelat de Talltendre)</t>
        </is>
      </c>
      <c r="B237" s="52" t="n">
        <v>2256</v>
      </c>
      <c r="C237" s="53" t="inlineStr">
        <is>
          <t>Cerdanya</t>
        </is>
      </c>
      <c r="D237" s="53" t="inlineStr">
        <is>
          <t>Cerdanya</t>
        </is>
      </c>
      <c r="E237" s="33" t="inlineStr">
        <is>
          <t>No essencial</t>
        </is>
      </c>
      <c r="F237" s="53" t="n"/>
      <c r="G237" s="33"/>
      <c r="H237" s="54"/>
      <c r="I237" s="53"/>
      <c r="J237" s="55" t="n">
        <v>42.42023</v>
      </c>
      <c r="K237" s="55" t="n">
        <v>1.73444</v>
      </c>
      <c r="L237" s="56" t="inlineStr">
        <is>
          <t>Fitxa ↗</t>
        </is>
      </c>
      <c r="M237" s="56" t="inlineStr">
        <is>
          <t>Mapa ↗</t>
        </is>
      </c>
      <c r="N237" s="33"/>
      <c r="O237" s="53"/>
    </row>
    <row r="238">
      <c r="A238" s="32" t="inlineStr">
        <is>
          <t>Roca Gran</t>
        </is>
      </c>
      <c r="B238" s="52" t="n">
        <v>2088</v>
      </c>
      <c r="C238" s="53" t="inlineStr">
        <is>
          <t>Cerdanya</t>
        </is>
      </c>
      <c r="D238" s="53" t="inlineStr">
        <is>
          <t>Cerdanya</t>
        </is>
      </c>
      <c r="E238" s="33" t="inlineStr">
        <is>
          <t>No essencial</t>
        </is>
      </c>
      <c r="F238" s="53" t="n"/>
      <c r="G238" s="33"/>
      <c r="H238" s="54"/>
      <c r="I238" s="53"/>
      <c r="J238" s="55" t="n">
        <v>42.31628</v>
      </c>
      <c r="K238" s="55" t="n">
        <v>1.7116</v>
      </c>
      <c r="L238" s="56" t="inlineStr">
        <is>
          <t>Fitxa ↗</t>
        </is>
      </c>
      <c r="M238" s="56" t="inlineStr">
        <is>
          <t>Mapa ↗</t>
        </is>
      </c>
      <c r="N238" s="33"/>
      <c r="O238" s="53"/>
    </row>
    <row r="239">
      <c r="A239" s="32" t="inlineStr">
        <is>
          <t>Castell de Llívia</t>
        </is>
      </c>
      <c r="B239" s="52" t="n">
        <v>1358</v>
      </c>
      <c r="C239" s="53" t="inlineStr">
        <is>
          <t>Cerdanya</t>
        </is>
      </c>
      <c r="D239" s="53" t="inlineStr">
        <is>
          <t>Cerdanya</t>
        </is>
      </c>
      <c r="E239" s="33" t="inlineStr">
        <is>
          <t>No essencial</t>
        </is>
      </c>
      <c r="F239" s="53" t="n"/>
      <c r="G239" s="33"/>
      <c r="H239" s="54"/>
      <c r="I239" s="53"/>
      <c r="J239" s="55" t="n">
        <v>42.46784</v>
      </c>
      <c r="K239" s="55" t="n">
        <v>1.98591</v>
      </c>
      <c r="L239" s="56" t="inlineStr">
        <is>
          <t>Fitxa ↗</t>
        </is>
      </c>
      <c r="M239" s="56" t="inlineStr">
        <is>
          <t>Mapa ↗</t>
        </is>
      </c>
      <c r="N239" s="33"/>
      <c r="O239" s="53"/>
    </row>
    <row r="240">
      <c r="A240" s="32" t="inlineStr">
        <is>
          <t>Carlit</t>
        </is>
      </c>
      <c r="B240" s="52" t="n">
        <v>2921</v>
      </c>
      <c r="C240" s="53" t="inlineStr">
        <is>
          <t>Cerdanya Nord</t>
        </is>
      </c>
      <c r="D240" s="53" t="inlineStr">
        <is>
          <t>Cerdanya Nord</t>
        </is>
      </c>
      <c r="E240" s="33" t="inlineStr">
        <is>
          <t>Essencial</t>
        </is>
      </c>
      <c r="F240" s="53" t="n"/>
      <c r="G240" s="33"/>
      <c r="H240" s="54"/>
      <c r="I240" s="53"/>
      <c r="J240" s="55" t="n">
        <v>42.56986</v>
      </c>
      <c r="K240" s="55" t="n">
        <v>1.9321</v>
      </c>
      <c r="L240" s="56" t="inlineStr">
        <is>
          <t>Fitxa ↗</t>
        </is>
      </c>
      <c r="M240" s="56" t="inlineStr">
        <is>
          <t>Mapa ↗</t>
        </is>
      </c>
      <c r="N240" s="33"/>
      <c r="O240" s="53"/>
    </row>
    <row r="241">
      <c r="A241" s="32" t="inlineStr">
        <is>
          <t>Puigmal</t>
        </is>
      </c>
      <c r="B241" s="52" t="n">
        <v>2910</v>
      </c>
      <c r="C241" s="53" t="inlineStr">
        <is>
          <t>Cerdanya Nord</t>
        </is>
      </c>
      <c r="D241" s="53" t="inlineStr">
        <is>
          <t>Cerdanya Nord, Ripollès</t>
        </is>
      </c>
      <c r="E241" s="33" t="inlineStr">
        <is>
          <t>Essencial</t>
        </is>
      </c>
      <c r="F241" s="53" t="inlineStr">
        <is>
          <t>Ripollès</t>
        </is>
      </c>
      <c r="G241" s="33"/>
      <c r="H241" s="54"/>
      <c r="I241" s="53"/>
      <c r="J241" s="55" t="n">
        <v>42.38327</v>
      </c>
      <c r="K241" s="55" t="n">
        <v>2.11679</v>
      </c>
      <c r="L241" s="56" t="inlineStr">
        <is>
          <t>Fitxa ↗</t>
        </is>
      </c>
      <c r="M241" s="56" t="inlineStr">
        <is>
          <t>Mapa ↗</t>
        </is>
      </c>
      <c r="N241" s="33"/>
      <c r="O241" s="53"/>
    </row>
    <row r="242">
      <c r="A242" s="32" t="inlineStr">
        <is>
          <t>Puig Pedrós de Lanós</t>
        </is>
      </c>
      <c r="B242" s="52" t="n">
        <v>2842</v>
      </c>
      <c r="C242" s="53" t="inlineStr">
        <is>
          <t>Cerdanya Nord</t>
        </is>
      </c>
      <c r="D242" s="53" t="inlineStr">
        <is>
          <t>Cerdanya Nord</t>
        </is>
      </c>
      <c r="E242" s="33" t="inlineStr">
        <is>
          <t>No essencial</t>
        </is>
      </c>
      <c r="F242" s="53" t="n"/>
      <c r="G242" s="33"/>
      <c r="H242" s="54"/>
      <c r="I242" s="53"/>
      <c r="J242" s="55" t="n">
        <v>42.5885</v>
      </c>
      <c r="K242" s="55" t="n">
        <v>1.87309</v>
      </c>
      <c r="L242" s="56" t="inlineStr">
        <is>
          <t>Fitxa ↗</t>
        </is>
      </c>
      <c r="M242" s="56" t="inlineStr">
        <is>
          <t>Mapa ↗</t>
        </is>
      </c>
      <c r="N242" s="33"/>
      <c r="O242" s="53"/>
    </row>
    <row r="243">
      <c r="A243" s="32" t="inlineStr">
        <is>
          <t>Puig Occidental de Coll Roig</t>
        </is>
      </c>
      <c r="B243" s="52" t="n">
        <v>2833</v>
      </c>
      <c r="C243" s="53" t="inlineStr">
        <is>
          <t>Cerdanya Nord</t>
        </is>
      </c>
      <c r="D243" s="53" t="inlineStr">
        <is>
          <t>Cerdanya Nord</t>
        </is>
      </c>
      <c r="E243" s="33" t="inlineStr">
        <is>
          <t>No essencial</t>
        </is>
      </c>
      <c r="F243" s="53" t="n"/>
      <c r="G243" s="33"/>
      <c r="H243" s="54"/>
      <c r="I243" s="53"/>
      <c r="J243" s="55" t="n">
        <v>42.54935</v>
      </c>
      <c r="K243" s="55" t="n">
        <v>1.91678</v>
      </c>
      <c r="L243" s="56" t="inlineStr">
        <is>
          <t>Fitxa ↗</t>
        </is>
      </c>
      <c r="M243" s="56" t="inlineStr">
        <is>
          <t>Mapa ↗</t>
        </is>
      </c>
      <c r="N243" s="33"/>
      <c r="O243" s="53"/>
    </row>
    <row r="244">
      <c r="A244" s="32" t="inlineStr">
        <is>
          <t>Torre d’Eina</t>
        </is>
      </c>
      <c r="B244" s="52" t="n">
        <v>2830</v>
      </c>
      <c r="C244" s="53" t="inlineStr">
        <is>
          <t>Cerdanya Nord</t>
        </is>
      </c>
      <c r="D244" s="53" t="inlineStr">
        <is>
          <t>Cerdanya Nord, Conflent</t>
        </is>
      </c>
      <c r="E244" s="33" t="inlineStr">
        <is>
          <t>Essencial</t>
        </is>
      </c>
      <c r="F244" s="53" t="n"/>
      <c r="G244" s="33"/>
      <c r="H244" s="54"/>
      <c r="I244" s="53"/>
      <c r="J244" s="55" t="n">
        <v>42.43444</v>
      </c>
      <c r="K244" s="55" t="n">
        <v>2.14715</v>
      </c>
      <c r="L244" s="56" t="inlineStr">
        <is>
          <t>Fitxa ↗</t>
        </is>
      </c>
      <c r="M244" s="56" t="inlineStr">
        <is>
          <t>Mapa ↗</t>
        </is>
      </c>
      <c r="N244" s="33"/>
      <c r="O244" s="53"/>
    </row>
    <row r="245">
      <c r="A245" s="32" t="inlineStr">
        <is>
          <t>Puig de Coma d’Or</t>
        </is>
      </c>
      <c r="B245" s="52" t="n">
        <v>2826</v>
      </c>
      <c r="C245" s="53" t="inlineStr">
        <is>
          <t>Cerdanya Nord</t>
        </is>
      </c>
      <c r="D245" s="53" t="inlineStr">
        <is>
          <t>Cerdanya Nord</t>
        </is>
      </c>
      <c r="E245" s="33" t="inlineStr">
        <is>
          <t>No essencial</t>
        </is>
      </c>
      <c r="F245" s="53" t="n"/>
      <c r="G245" s="33"/>
      <c r="H245" s="54"/>
      <c r="I245" s="53"/>
      <c r="J245" s="55" t="n">
        <v>42.58356</v>
      </c>
      <c r="K245" s="55" t="n">
        <v>1.87362</v>
      </c>
      <c r="L245" s="56" t="inlineStr">
        <is>
          <t>Fitxa ↗</t>
        </is>
      </c>
      <c r="M245" s="56" t="inlineStr">
        <is>
          <t>Mapa ↗</t>
        </is>
      </c>
      <c r="N245" s="33"/>
      <c r="O245" s="53"/>
    </row>
    <row r="246">
      <c r="A246" s="32" t="inlineStr">
        <is>
          <t>Roc del Boc</t>
        </is>
      </c>
      <c r="B246" s="52" t="n">
        <v>2774</v>
      </c>
      <c r="C246" s="53" t="inlineStr">
        <is>
          <t>Cerdanya Nord</t>
        </is>
      </c>
      <c r="D246" s="53" t="inlineStr">
        <is>
          <t>Cerdanya Nord</t>
        </is>
      </c>
      <c r="E246" s="33" t="inlineStr">
        <is>
          <t>No essencial</t>
        </is>
      </c>
      <c r="F246" s="53" t="n"/>
      <c r="G246" s="33"/>
      <c r="H246" s="54"/>
      <c r="I246" s="53"/>
      <c r="J246" s="55" t="n">
        <v>42.44634</v>
      </c>
      <c r="K246" s="55" t="n">
        <v>2.15516</v>
      </c>
      <c r="L246" s="56" t="inlineStr">
        <is>
          <t>Fitxa ↗</t>
        </is>
      </c>
      <c r="M246" s="56" t="inlineStr">
        <is>
          <t>Mapa ↗</t>
        </is>
      </c>
      <c r="N246" s="33"/>
      <c r="O246" s="53"/>
    </row>
    <row r="247">
      <c r="A247" s="32" t="inlineStr">
        <is>
          <t>Puig de la Cometa</t>
        </is>
      </c>
      <c r="B247" s="52" t="n">
        <v>2763</v>
      </c>
      <c r="C247" s="53" t="inlineStr">
        <is>
          <t>Cerdanya Nord</t>
        </is>
      </c>
      <c r="D247" s="53" t="inlineStr">
        <is>
          <t>Cerdanya Nord</t>
        </is>
      </c>
      <c r="E247" s="33" t="inlineStr">
        <is>
          <t>No essencial</t>
        </is>
      </c>
      <c r="F247" s="53" t="n"/>
      <c r="G247" s="33"/>
      <c r="H247" s="54"/>
      <c r="I247" s="53"/>
      <c r="J247" s="55" t="n">
        <v>42.61721</v>
      </c>
      <c r="K247" s="55" t="n">
        <v>1.9593</v>
      </c>
      <c r="L247" s="56" t="inlineStr">
        <is>
          <t>Fitxa ↗</t>
        </is>
      </c>
      <c r="M247" s="56" t="inlineStr">
        <is>
          <t>Mapa ↗</t>
        </is>
      </c>
      <c r="N247" s="33"/>
      <c r="O247" s="53"/>
    </row>
    <row r="248">
      <c r="A248" s="32" t="inlineStr">
        <is>
          <t>Cambra d’Ase</t>
        </is>
      </c>
      <c r="B248" s="52" t="n">
        <v>2750</v>
      </c>
      <c r="C248" s="53" t="inlineStr">
        <is>
          <t>Cerdanya Nord</t>
        </is>
      </c>
      <c r="D248" s="53" t="inlineStr">
        <is>
          <t>Cerdanya Nord</t>
        </is>
      </c>
      <c r="E248" s="33" t="inlineStr">
        <is>
          <t>Essencial</t>
        </is>
      </c>
      <c r="F248" s="53" t="n"/>
      <c r="G248" s="33"/>
      <c r="H248" s="54"/>
      <c r="I248" s="53"/>
      <c r="J248" s="55" t="n">
        <v>42.45088</v>
      </c>
      <c r="K248" s="55" t="n">
        <v>2.13126</v>
      </c>
      <c r="L248" s="56" t="inlineStr">
        <is>
          <t>Fitxa ↗</t>
        </is>
      </c>
      <c r="M248" s="56" t="inlineStr">
        <is>
          <t>Mapa ↗</t>
        </is>
      </c>
      <c r="N248" s="33"/>
      <c r="O248" s="53"/>
    </row>
    <row r="249">
      <c r="A249" s="32" t="inlineStr">
        <is>
          <t>Pic de Font Freda</t>
        </is>
      </c>
      <c r="B249" s="52" t="n">
        <v>2738</v>
      </c>
      <c r="C249" s="53" t="inlineStr">
        <is>
          <t>Cerdanya Nord</t>
        </is>
      </c>
      <c r="D249" s="53" t="inlineStr">
        <is>
          <t>Cerdanya Nord</t>
        </is>
      </c>
      <c r="E249" s="33" t="inlineStr">
        <is>
          <t>No essencial</t>
        </is>
      </c>
      <c r="F249" s="53" t="n"/>
      <c r="G249" s="33"/>
      <c r="H249" s="54"/>
      <c r="I249" s="53"/>
      <c r="J249" s="55" t="n">
        <v>42.53635</v>
      </c>
      <c r="K249" s="55" t="n">
        <v>1.79499</v>
      </c>
      <c r="L249" s="56" t="inlineStr">
        <is>
          <t>Fitxa ↗</t>
        </is>
      </c>
      <c r="M249" s="56" t="inlineStr">
        <is>
          <t>Mapa ↗</t>
        </is>
      </c>
      <c r="N249" s="33"/>
      <c r="O249" s="53"/>
    </row>
    <row r="250">
      <c r="A250" s="32" t="inlineStr">
        <is>
          <t>Pic dels Pedrons</t>
        </is>
      </c>
      <c r="B250" s="52" t="n">
        <v>2715</v>
      </c>
      <c r="C250" s="53" t="inlineStr">
        <is>
          <t>Cerdanya Nord</t>
        </is>
      </c>
      <c r="D250" s="53" t="inlineStr">
        <is>
          <t>Cerdanya Nord</t>
        </is>
      </c>
      <c r="E250" s="33" t="inlineStr">
        <is>
          <t>No essencial</t>
        </is>
      </c>
      <c r="F250" s="53" t="n"/>
      <c r="G250" s="33"/>
      <c r="H250" s="54"/>
      <c r="I250" s="53"/>
      <c r="J250" s="55" t="n">
        <v>42.53151</v>
      </c>
      <c r="K250" s="55" t="n">
        <v>1.75227</v>
      </c>
      <c r="L250" s="56" t="inlineStr">
        <is>
          <t>Fitxa ↗</t>
        </is>
      </c>
      <c r="M250" s="56" t="inlineStr">
        <is>
          <t>Mapa ↗</t>
        </is>
      </c>
      <c r="N250" s="33"/>
      <c r="O250" s="53"/>
    </row>
    <row r="251">
      <c r="A251" s="32" t="inlineStr">
        <is>
          <t>Puig de Font Viva</t>
        </is>
      </c>
      <c r="B251" s="52" t="n">
        <v>2673</v>
      </c>
      <c r="C251" s="53" t="inlineStr">
        <is>
          <t>Cerdanya Nord</t>
        </is>
      </c>
      <c r="D251" s="53" t="inlineStr">
        <is>
          <t>Cerdanya Nord</t>
        </is>
      </c>
      <c r="E251" s="33" t="inlineStr">
        <is>
          <t>No essencial</t>
        </is>
      </c>
      <c r="F251" s="53" t="n"/>
      <c r="G251" s="33"/>
      <c r="H251" s="54"/>
      <c r="I251" s="53"/>
      <c r="J251" s="55" t="n">
        <v>42.56914</v>
      </c>
      <c r="K251" s="55" t="n">
        <v>1.87962</v>
      </c>
      <c r="L251" s="56" t="inlineStr">
        <is>
          <t>Fitxa ↗</t>
        </is>
      </c>
      <c r="M251" s="56" t="inlineStr">
        <is>
          <t>Mapa ↗</t>
        </is>
      </c>
      <c r="N251" s="33"/>
      <c r="O251" s="53"/>
    </row>
    <row r="252">
      <c r="A252" s="32" t="inlineStr">
        <is>
          <t>Puig de la Grava</t>
        </is>
      </c>
      <c r="B252" s="52" t="n">
        <v>2671</v>
      </c>
      <c r="C252" s="53" t="inlineStr">
        <is>
          <t>Cerdanya Nord</t>
        </is>
      </c>
      <c r="D252" s="53" t="inlineStr">
        <is>
          <t>Cerdanya Nord</t>
        </is>
      </c>
      <c r="E252" s="33" t="inlineStr">
        <is>
          <t>No essencial</t>
        </is>
      </c>
      <c r="F252" s="53" t="n"/>
      <c r="G252" s="33"/>
      <c r="H252" s="54"/>
      <c r="I252" s="53"/>
      <c r="J252" s="55" t="n">
        <v>42.60485</v>
      </c>
      <c r="K252" s="55" t="n">
        <v>1.93348</v>
      </c>
      <c r="L252" s="56" t="inlineStr">
        <is>
          <t>Fitxa ↗</t>
        </is>
      </c>
      <c r="M252" s="56" t="inlineStr">
        <is>
          <t>Mapa ↗</t>
        </is>
      </c>
      <c r="N252" s="33"/>
      <c r="O252" s="53"/>
    </row>
    <row r="253">
      <c r="A253" s="32" t="inlineStr">
        <is>
          <t>el Punxó</t>
        </is>
      </c>
      <c r="B253" s="52" t="n">
        <v>2581</v>
      </c>
      <c r="C253" s="53" t="inlineStr">
        <is>
          <t>Cerdanya Nord</t>
        </is>
      </c>
      <c r="D253" s="53" t="inlineStr">
        <is>
          <t>Cerdanya Nord</t>
        </is>
      </c>
      <c r="E253" s="33" t="inlineStr">
        <is>
          <t>No essencial</t>
        </is>
      </c>
      <c r="F253" s="53" t="n"/>
      <c r="G253" s="33"/>
      <c r="H253" s="54"/>
      <c r="I253" s="53"/>
      <c r="J253" s="55" t="n">
        <v>42.53058</v>
      </c>
      <c r="K253" s="55" t="n">
        <v>1.85464</v>
      </c>
      <c r="L253" s="56" t="inlineStr">
        <is>
          <t>Fitxa ↗</t>
        </is>
      </c>
      <c r="M253" s="56" t="inlineStr">
        <is>
          <t>Mapa ↗</t>
        </is>
      </c>
      <c r="N253" s="33"/>
      <c r="O253" s="53"/>
    </row>
    <row r="254">
      <c r="A254" s="32" t="inlineStr">
        <is>
          <t>Puig de Dòrria</t>
        </is>
      </c>
      <c r="B254" s="52" t="n">
        <v>2547</v>
      </c>
      <c r="C254" s="53" t="inlineStr">
        <is>
          <t>Cerdanya Nord</t>
        </is>
      </c>
      <c r="D254" s="53" t="inlineStr">
        <is>
          <t>Cerdanya Nord, Ripollès</t>
        </is>
      </c>
      <c r="E254" s="33" t="inlineStr">
        <is>
          <t>No essencial</t>
        </is>
      </c>
      <c r="F254" s="53" t="n"/>
      <c r="G254" s="33"/>
      <c r="H254" s="54"/>
      <c r="I254" s="53"/>
      <c r="J254" s="55" t="n">
        <v>42.36177</v>
      </c>
      <c r="K254" s="55" t="n">
        <v>2.08466</v>
      </c>
      <c r="L254" s="56" t="inlineStr">
        <is>
          <t>Fitxa ↗</t>
        </is>
      </c>
      <c r="M254" s="56" t="inlineStr">
        <is>
          <t>Mapa ↗</t>
        </is>
      </c>
      <c r="N254" s="33"/>
      <c r="O254" s="53"/>
    </row>
    <row r="255">
      <c r="A255" s="32" t="inlineStr">
        <is>
          <t>Pic dels Moros</t>
        </is>
      </c>
      <c r="B255" s="52" t="n">
        <v>2137</v>
      </c>
      <c r="C255" s="53" t="inlineStr">
        <is>
          <t>Cerdanya Nord</t>
        </is>
      </c>
      <c r="D255" s="53" t="inlineStr">
        <is>
          <t>Cerdanya Nord</t>
        </is>
      </c>
      <c r="E255" s="33" t="inlineStr">
        <is>
          <t>No essencial</t>
        </is>
      </c>
      <c r="F255" s="53" t="n"/>
      <c r="G255" s="33"/>
      <c r="H255" s="54"/>
      <c r="I255" s="53"/>
      <c r="J255" s="55" t="n">
        <v>42.51318</v>
      </c>
      <c r="K255" s="55" t="n">
        <v>1.991</v>
      </c>
      <c r="L255" s="56" t="inlineStr">
        <is>
          <t>Fitxa ↗</t>
        </is>
      </c>
      <c r="M255" s="56" t="inlineStr">
        <is>
          <t>Mapa ↗</t>
        </is>
      </c>
      <c r="N255" s="33"/>
      <c r="O255" s="53"/>
    </row>
    <row r="256">
      <c r="A256" s="32" t="inlineStr">
        <is>
          <t>Turó de Bell-lloc</t>
        </is>
      </c>
      <c r="B256" s="52" t="n">
        <v>1702</v>
      </c>
      <c r="C256" s="53" t="inlineStr">
        <is>
          <t>Cerdanya Nord</t>
        </is>
      </c>
      <c r="D256" s="53" t="inlineStr">
        <is>
          <t>Cerdanya Nord</t>
        </is>
      </c>
      <c r="E256" s="33" t="inlineStr">
        <is>
          <t>No essencial</t>
        </is>
      </c>
      <c r="F256" s="53" t="n"/>
      <c r="G256" s="33"/>
      <c r="H256" s="54"/>
      <c r="I256" s="53"/>
      <c r="J256" s="55" t="n">
        <v>42.48328</v>
      </c>
      <c r="K256" s="55" t="n">
        <v>1.92218</v>
      </c>
      <c r="L256" s="56" t="inlineStr">
        <is>
          <t>Fitxa ↗</t>
        </is>
      </c>
      <c r="M256" s="56" t="inlineStr">
        <is>
          <t>Mapa ↗</t>
        </is>
      </c>
      <c r="N256" s="33"/>
      <c r="O256" s="53"/>
    </row>
    <row r="257">
      <c r="A257" s="32" t="inlineStr">
        <is>
          <t>Punta del Curull</t>
        </is>
      </c>
      <c r="B257" s="52" t="n">
        <v>1022</v>
      </c>
      <c r="C257" s="53" t="inlineStr">
        <is>
          <t>Conca de Barberà</t>
        </is>
      </c>
      <c r="D257" s="53" t="inlineStr">
        <is>
          <t>Conca de Barberà, Garrigues</t>
        </is>
      </c>
      <c r="E257" s="33" t="inlineStr">
        <is>
          <t>Essencial</t>
        </is>
      </c>
      <c r="F257" s="53" t="n"/>
      <c r="G257" s="33"/>
      <c r="H257" s="54"/>
      <c r="I257" s="53"/>
      <c r="J257" s="55" t="n">
        <v>41.3553</v>
      </c>
      <c r="K257" s="55" t="n">
        <v>0.96433</v>
      </c>
      <c r="L257" s="56" t="inlineStr">
        <is>
          <t>Fitxa ↗</t>
        </is>
      </c>
      <c r="M257" s="56" t="inlineStr">
        <is>
          <t>Mapa ↗</t>
        </is>
      </c>
      <c r="N257" s="33"/>
      <c r="O257" s="53"/>
    </row>
    <row r="258">
      <c r="A258" s="32" t="inlineStr">
        <is>
          <t>Sant Miquel de Montclar</t>
        </is>
      </c>
      <c r="B258" s="52" t="n">
        <v>948</v>
      </c>
      <c r="C258" s="53" t="inlineStr">
        <is>
          <t>Conca de Barberà</t>
        </is>
      </c>
      <c r="D258" s="53" t="inlineStr">
        <is>
          <t>Conca de Barberà</t>
        </is>
      </c>
      <c r="E258" s="33" t="inlineStr">
        <is>
          <t>Essencial</t>
        </is>
      </c>
      <c r="F258" s="53" t="n"/>
      <c r="G258" s="33"/>
      <c r="H258" s="54"/>
      <c r="I258" s="53"/>
      <c r="J258" s="55" t="n">
        <v>41.46573</v>
      </c>
      <c r="K258" s="55" t="n">
        <v>1.34565</v>
      </c>
      <c r="L258" s="56" t="inlineStr">
        <is>
          <t>Fitxa ↗</t>
        </is>
      </c>
      <c r="M258" s="56" t="inlineStr">
        <is>
          <t>Mapa ↗</t>
        </is>
      </c>
      <c r="N258" s="33"/>
      <c r="O258" s="53"/>
    </row>
    <row r="259">
      <c r="A259" s="32" t="inlineStr">
        <is>
          <t>Tossal Gros de Vallbona</t>
        </is>
      </c>
      <c r="B259" s="52" t="n">
        <v>803</v>
      </c>
      <c r="C259" s="53" t="inlineStr">
        <is>
          <t>Conca de Barberà</t>
        </is>
      </c>
      <c r="D259" s="53" t="inlineStr">
        <is>
          <t>Conca de Barberà, Urgell</t>
        </is>
      </c>
      <c r="E259" s="33" t="inlineStr">
        <is>
          <t>Essencial</t>
        </is>
      </c>
      <c r="F259" s="53" t="inlineStr">
        <is>
          <t>Urgell</t>
        </is>
      </c>
      <c r="G259" s="33"/>
      <c r="H259" s="54"/>
      <c r="I259" s="53"/>
      <c r="J259" s="55" t="n">
        <v>41.46886</v>
      </c>
      <c r="K259" s="55" t="n">
        <v>1.11287</v>
      </c>
      <c r="L259" s="56" t="inlineStr">
        <is>
          <t>Fitxa ↗</t>
        </is>
      </c>
      <c r="M259" s="56" t="inlineStr">
        <is>
          <t>Mapa ↗</t>
        </is>
      </c>
      <c r="N259" s="33"/>
      <c r="O259" s="53"/>
    </row>
    <row r="260">
      <c r="A260" s="32" t="inlineStr">
        <is>
          <t>Bastiments</t>
        </is>
      </c>
      <c r="B260" s="52" t="n">
        <v>2881</v>
      </c>
      <c r="C260" s="53" t="inlineStr">
        <is>
          <t>Conflent</t>
        </is>
      </c>
      <c r="D260" s="53" t="inlineStr">
        <is>
          <t>Conflent, Ripollès</t>
        </is>
      </c>
      <c r="E260" s="33" t="inlineStr">
        <is>
          <t>Essencial</t>
        </is>
      </c>
      <c r="F260" s="53" t="n"/>
      <c r="G260" s="33"/>
      <c r="H260" s="54"/>
      <c r="I260" s="53"/>
      <c r="J260" s="55" t="n">
        <v>42.42622</v>
      </c>
      <c r="K260" s="55" t="n">
        <v>2.23286</v>
      </c>
      <c r="L260" s="56" t="inlineStr">
        <is>
          <t>Fitxa ↗</t>
        </is>
      </c>
      <c r="M260" s="56" t="inlineStr">
        <is>
          <t>Mapa ↗</t>
        </is>
      </c>
      <c r="N260" s="33"/>
      <c r="O260" s="53"/>
    </row>
    <row r="261">
      <c r="A261" s="32" t="inlineStr">
        <is>
          <t>Pic de l’Infern</t>
        </is>
      </c>
      <c r="B261" s="52" t="n">
        <v>2870</v>
      </c>
      <c r="C261" s="53" t="inlineStr">
        <is>
          <t>Conflent</t>
        </is>
      </c>
      <c r="D261" s="53" t="inlineStr">
        <is>
          <t>Conflent</t>
        </is>
      </c>
      <c r="E261" s="33" t="inlineStr">
        <is>
          <t>No essencial</t>
        </is>
      </c>
      <c r="F261" s="53" t="n"/>
      <c r="G261" s="33"/>
      <c r="H261" s="54"/>
      <c r="I261" s="53"/>
      <c r="J261" s="55" t="n">
        <v>42.42393</v>
      </c>
      <c r="K261" s="55" t="n">
        <v>2.21373</v>
      </c>
      <c r="L261" s="56" t="inlineStr">
        <is>
          <t>Fitxa ↗</t>
        </is>
      </c>
      <c r="M261" s="56" t="inlineStr">
        <is>
          <t>Mapa ↗</t>
        </is>
      </c>
      <c r="N261" s="33"/>
      <c r="O261" s="53"/>
    </row>
    <row r="262">
      <c r="A262" s="32" t="inlineStr">
        <is>
          <t>Noufonts</t>
        </is>
      </c>
      <c r="B262" s="52" t="n">
        <v>2861</v>
      </c>
      <c r="C262" s="53" t="inlineStr">
        <is>
          <t>Conflent</t>
        </is>
      </c>
      <c r="D262" s="53" t="inlineStr">
        <is>
          <t>Conflent, Ripollès</t>
        </is>
      </c>
      <c r="E262" s="33" t="inlineStr">
        <is>
          <t>No essencial</t>
        </is>
      </c>
      <c r="F262" s="53" t="n"/>
      <c r="G262" s="33"/>
      <c r="H262" s="54"/>
      <c r="I262" s="53"/>
      <c r="J262" s="55" t="n">
        <v>42.42465</v>
      </c>
      <c r="K262" s="55" t="n">
        <v>2.16788</v>
      </c>
      <c r="L262" s="56" t="inlineStr">
        <is>
          <t>Fitxa ↗</t>
        </is>
      </c>
      <c r="M262" s="56" t="inlineStr">
        <is>
          <t>Mapa ↗</t>
        </is>
      </c>
      <c r="N262" s="33"/>
      <c r="O262" s="53"/>
    </row>
    <row r="263">
      <c r="A263" s="32" t="inlineStr">
        <is>
          <t>Canigó</t>
        </is>
      </c>
      <c r="B263" s="52" t="n">
        <v>2784</v>
      </c>
      <c r="C263" s="53" t="inlineStr">
        <is>
          <t>Conflent</t>
        </is>
      </c>
      <c r="D263" s="53" t="inlineStr">
        <is>
          <t>Conflent</t>
        </is>
      </c>
      <c r="E263" s="33" t="inlineStr">
        <is>
          <t>Essencial</t>
        </is>
      </c>
      <c r="F263" s="53" t="n"/>
      <c r="G263" s="33"/>
      <c r="H263" s="54"/>
      <c r="I263" s="53"/>
      <c r="J263" s="55" t="n">
        <v>42.5189</v>
      </c>
      <c r="K263" s="55" t="n">
        <v>2.45656</v>
      </c>
      <c r="L263" s="56" t="inlineStr">
        <is>
          <t>Fitxa ↗</t>
        </is>
      </c>
      <c r="M263" s="56" t="inlineStr">
        <is>
          <t>Mapa ↗</t>
        </is>
      </c>
      <c r="N263" s="33"/>
      <c r="O263" s="53"/>
    </row>
    <row r="264">
      <c r="A264" s="32" t="inlineStr">
        <is>
          <t>Pic de Racó Gros</t>
        </is>
      </c>
      <c r="B264" s="52" t="n">
        <v>2782</v>
      </c>
      <c r="C264" s="53" t="inlineStr">
        <is>
          <t>Conflent</t>
        </is>
      </c>
      <c r="D264" s="53" t="inlineStr">
        <is>
          <t>Conflent</t>
        </is>
      </c>
      <c r="E264" s="33" t="inlineStr">
        <is>
          <t>No essencial</t>
        </is>
      </c>
      <c r="F264" s="53" t="n"/>
      <c r="G264" s="33"/>
      <c r="H264" s="54"/>
      <c r="I264" s="53"/>
      <c r="J264" s="55" t="n">
        <v>42.43222</v>
      </c>
      <c r="K264" s="55" t="n">
        <v>2.18711</v>
      </c>
      <c r="L264" s="56" t="inlineStr">
        <is>
          <t>Fitxa ↗</t>
        </is>
      </c>
      <c r="M264" s="56" t="inlineStr">
        <is>
          <t>Mapa ↗</t>
        </is>
      </c>
      <c r="N264" s="33"/>
      <c r="O264" s="53"/>
    </row>
    <row r="265">
      <c r="A265" s="32" t="inlineStr">
        <is>
          <t>Pic de Coma Mitjana</t>
        </is>
      </c>
      <c r="B265" s="52" t="n">
        <v>2732</v>
      </c>
      <c r="C265" s="53" t="inlineStr">
        <is>
          <t>Conflent</t>
        </is>
      </c>
      <c r="D265" s="53" t="inlineStr">
        <is>
          <t>Conflent</t>
        </is>
      </c>
      <c r="E265" s="33" t="inlineStr">
        <is>
          <t>No essencial</t>
        </is>
      </c>
      <c r="F265" s="53" t="n"/>
      <c r="G265" s="33"/>
      <c r="H265" s="54"/>
      <c r="I265" s="53"/>
      <c r="J265" s="55" t="n">
        <v>42.44176</v>
      </c>
      <c r="K265" s="55" t="n">
        <v>2.20961</v>
      </c>
      <c r="L265" s="56" t="inlineStr">
        <is>
          <t>Fitxa ↗</t>
        </is>
      </c>
      <c r="M265" s="56" t="inlineStr">
        <is>
          <t>Mapa ↗</t>
        </is>
      </c>
      <c r="N265" s="33"/>
      <c r="O265" s="53"/>
    </row>
    <row r="266">
      <c r="A266" s="32" t="inlineStr">
        <is>
          <t>Puig de Tretzevents</t>
        </is>
      </c>
      <c r="B266" s="52" t="n">
        <v>2731</v>
      </c>
      <c r="C266" s="53" t="inlineStr">
        <is>
          <t>Conflent</t>
        </is>
      </c>
      <c r="D266" s="53" t="inlineStr">
        <is>
          <t>Conflent, Vallespir</t>
        </is>
      </c>
      <c r="E266" s="33" t="inlineStr">
        <is>
          <t>Essencial</t>
        </is>
      </c>
      <c r="F266" s="53" t="n"/>
      <c r="G266" s="33"/>
      <c r="H266" s="54"/>
      <c r="I266" s="53"/>
      <c r="J266" s="55" t="n">
        <v>42.4921</v>
      </c>
      <c r="K266" s="55" t="n">
        <v>2.46836</v>
      </c>
      <c r="L266" s="56" t="inlineStr">
        <is>
          <t>Fitxa ↗</t>
        </is>
      </c>
      <c r="M266" s="56" t="inlineStr">
        <is>
          <t>Mapa ↗</t>
        </is>
      </c>
      <c r="N266" s="33"/>
      <c r="O266" s="53"/>
    </row>
    <row r="267">
      <c r="A267" s="32" t="inlineStr">
        <is>
          <t>Puig de Gallinàs</t>
        </is>
      </c>
      <c r="B267" s="52" t="n">
        <v>2624</v>
      </c>
      <c r="C267" s="53" t="inlineStr">
        <is>
          <t>Conflent</t>
        </is>
      </c>
      <c r="D267" s="53" t="inlineStr">
        <is>
          <t>Conflent</t>
        </is>
      </c>
      <c r="E267" s="33" t="inlineStr">
        <is>
          <t>No essencial</t>
        </is>
      </c>
      <c r="F267" s="53" t="n"/>
      <c r="G267" s="33"/>
      <c r="H267" s="54"/>
      <c r="I267" s="53"/>
      <c r="J267" s="55" t="n">
        <v>42.47778</v>
      </c>
      <c r="K267" s="55" t="n">
        <v>2.21531</v>
      </c>
      <c r="L267" s="56" t="inlineStr">
        <is>
          <t>Fitxa ↗</t>
        </is>
      </c>
      <c r="M267" s="56" t="inlineStr">
        <is>
          <t>Mapa ↗</t>
        </is>
      </c>
      <c r="N267" s="33"/>
      <c r="O267" s="53"/>
    </row>
    <row r="268">
      <c r="A268" s="32" t="inlineStr">
        <is>
          <t>Roca Colom</t>
        </is>
      </c>
      <c r="B268" s="52" t="n">
        <v>2506</v>
      </c>
      <c r="C268" s="53" t="inlineStr">
        <is>
          <t>Conflent</t>
        </is>
      </c>
      <c r="D268" s="53" t="inlineStr">
        <is>
          <t>Conflent, Ripollès, Vallespir</t>
        </is>
      </c>
      <c r="E268" s="33" t="inlineStr">
        <is>
          <t>No essencial</t>
        </is>
      </c>
      <c r="F268" s="53" t="n"/>
      <c r="G268" s="33"/>
      <c r="H268" s="54"/>
      <c r="I268" s="53"/>
      <c r="J268" s="55" t="n">
        <v>42.42515</v>
      </c>
      <c r="K268" s="55" t="n">
        <v>2.31875</v>
      </c>
      <c r="L268" s="56" t="inlineStr">
        <is>
          <t>Fitxa ↗</t>
        </is>
      </c>
      <c r="M268" s="56" t="inlineStr">
        <is>
          <t>Mapa ↗</t>
        </is>
      </c>
      <c r="N268" s="33"/>
      <c r="O268" s="53"/>
    </row>
    <row r="269">
      <c r="A269" s="32" t="inlineStr">
        <is>
          <t>Roc de Madres</t>
        </is>
      </c>
      <c r="B269" s="52" t="n">
        <v>2469</v>
      </c>
      <c r="C269" s="53" t="inlineStr">
        <is>
          <t>Conflent</t>
        </is>
      </c>
      <c r="D269" s="53" t="inlineStr">
        <is>
          <t>Conflent</t>
        </is>
      </c>
      <c r="E269" s="33" t="inlineStr">
        <is>
          <t>Essencial</t>
        </is>
      </c>
      <c r="F269" s="53" t="n"/>
      <c r="G269" s="33"/>
      <c r="H269" s="54"/>
      <c r="I269" s="53"/>
      <c r="J269" s="55" t="n">
        <v>42.65182</v>
      </c>
      <c r="K269" s="55" t="n">
        <v>2.19241</v>
      </c>
      <c r="L269" s="56" t="inlineStr">
        <is>
          <t>Fitxa ↗</t>
        </is>
      </c>
      <c r="M269" s="56" t="inlineStr">
        <is>
          <t>Mapa ↗</t>
        </is>
      </c>
      <c r="N269" s="33"/>
      <c r="O269" s="53"/>
    </row>
    <row r="270">
      <c r="A270" s="32" t="inlineStr">
        <is>
          <t>Pic de Gallinassa</t>
        </is>
      </c>
      <c r="B270" s="52" t="n">
        <v>2461</v>
      </c>
      <c r="C270" s="53" t="inlineStr">
        <is>
          <t>Conflent</t>
        </is>
      </c>
      <c r="D270" s="53" t="inlineStr">
        <is>
          <t>Conflent, Vallespir</t>
        </is>
      </c>
      <c r="E270" s="33" t="inlineStr">
        <is>
          <t>No essencial</t>
        </is>
      </c>
      <c r="F270" s="53" t="n"/>
      <c r="G270" s="33"/>
      <c r="H270" s="54"/>
      <c r="I270" s="53"/>
      <c r="J270" s="55" t="n">
        <v>42.502</v>
      </c>
      <c r="K270" s="55" t="n">
        <v>2.50717</v>
      </c>
      <c r="L270" s="56" t="inlineStr">
        <is>
          <t>Fitxa ↗</t>
        </is>
      </c>
      <c r="M270" s="56" t="inlineStr">
        <is>
          <t>Mapa ↗</t>
        </is>
      </c>
      <c r="N270" s="33"/>
      <c r="O270" s="53"/>
    </row>
    <row r="271">
      <c r="A271" s="32" t="inlineStr">
        <is>
          <t>Puig de la Collada Verda</t>
        </is>
      </c>
      <c r="B271" s="52" t="n">
        <v>2403</v>
      </c>
      <c r="C271" s="53" t="inlineStr">
        <is>
          <t>Conflent</t>
        </is>
      </c>
      <c r="D271" s="53" t="inlineStr">
        <is>
          <t>Conflent, Vallespir</t>
        </is>
      </c>
      <c r="E271" s="33" t="inlineStr">
        <is>
          <t>No essencial</t>
        </is>
      </c>
      <c r="F271" s="53" t="n"/>
      <c r="G271" s="33"/>
      <c r="H271" s="54"/>
      <c r="I271" s="53"/>
      <c r="J271" s="55" t="n">
        <v>42.45461</v>
      </c>
      <c r="K271" s="55" t="n">
        <v>2.39693</v>
      </c>
      <c r="L271" s="56" t="inlineStr">
        <is>
          <t>Fitxa ↗</t>
        </is>
      </c>
      <c r="M271" s="56" t="inlineStr">
        <is>
          <t>Mapa ↗</t>
        </is>
      </c>
      <c r="N271" s="33"/>
      <c r="O271" s="53"/>
    </row>
    <row r="272">
      <c r="A272" s="32" t="inlineStr">
        <is>
          <t>Puig de la Pelada</t>
        </is>
      </c>
      <c r="B272" s="52" t="n">
        <v>2370</v>
      </c>
      <c r="C272" s="53" t="inlineStr">
        <is>
          <t>Conflent</t>
        </is>
      </c>
      <c r="D272" s="53" t="inlineStr">
        <is>
          <t>Conflent</t>
        </is>
      </c>
      <c r="E272" s="33" t="inlineStr">
        <is>
          <t>No essencial</t>
        </is>
      </c>
      <c r="F272" s="53" t="n"/>
      <c r="G272" s="33"/>
      <c r="H272" s="54"/>
      <c r="I272" s="53"/>
      <c r="J272" s="55" t="n">
        <v>42.62162</v>
      </c>
      <c r="K272" s="55" t="n">
        <v>2.19476</v>
      </c>
      <c r="L272" s="56" t="inlineStr">
        <is>
          <t>Fitxa ↗</t>
        </is>
      </c>
      <c r="M272" s="56" t="inlineStr">
        <is>
          <t>Mapa ↗</t>
        </is>
      </c>
      <c r="N272" s="33"/>
      <c r="O272" s="53"/>
    </row>
    <row r="273">
      <c r="A273" s="32" t="inlineStr">
        <is>
          <t>Puig de les Tres Esteles</t>
        </is>
      </c>
      <c r="B273" s="52" t="n">
        <v>2099</v>
      </c>
      <c r="C273" s="53" t="inlineStr">
        <is>
          <t>Conflent</t>
        </is>
      </c>
      <c r="D273" s="53" t="inlineStr">
        <is>
          <t>Conflent</t>
        </is>
      </c>
      <c r="E273" s="33" t="inlineStr">
        <is>
          <t>No essencial</t>
        </is>
      </c>
      <c r="F273" s="53" t="n"/>
      <c r="G273" s="33"/>
      <c r="H273" s="54"/>
      <c r="I273" s="53"/>
      <c r="J273" s="55" t="n">
        <v>42.50877</v>
      </c>
      <c r="K273" s="55" t="n">
        <v>2.32322</v>
      </c>
      <c r="L273" s="56" t="inlineStr">
        <is>
          <t>Fitxa ↗</t>
        </is>
      </c>
      <c r="M273" s="56" t="inlineStr">
        <is>
          <t>Mapa ↗</t>
        </is>
      </c>
      <c r="N273" s="33"/>
      <c r="O273" s="53"/>
    </row>
    <row r="274">
      <c r="A274" s="32" t="inlineStr">
        <is>
          <t>Tuc Dormidor</t>
        </is>
      </c>
      <c r="B274" s="52" t="n">
        <v>1843</v>
      </c>
      <c r="C274" s="53" t="inlineStr">
        <is>
          <t>Conflent</t>
        </is>
      </c>
      <c r="D274" s="53" t="inlineStr">
        <is>
          <t>Conflent</t>
        </is>
      </c>
      <c r="E274" s="33" t="inlineStr">
        <is>
          <t>No essencial</t>
        </is>
      </c>
      <c r="F274" s="53" t="n"/>
      <c r="G274" s="33"/>
      <c r="H274" s="54"/>
      <c r="I274" s="53"/>
      <c r="J274" s="55" t="n">
        <v>42.70858</v>
      </c>
      <c r="K274" s="55" t="n">
        <v>2.26614</v>
      </c>
      <c r="L274" s="56" t="inlineStr">
        <is>
          <t>Fitxa ↗</t>
        </is>
      </c>
      <c r="M274" s="56" t="inlineStr">
        <is>
          <t>Mapa ↗</t>
        </is>
      </c>
      <c r="N274" s="33"/>
      <c r="O274" s="53"/>
    </row>
    <row r="275">
      <c r="A275" s="32" t="inlineStr">
        <is>
          <t>Puig de l’Estella</t>
        </is>
      </c>
      <c r="B275" s="52" t="n">
        <v>1778</v>
      </c>
      <c r="C275" s="53" t="inlineStr">
        <is>
          <t>Conflent</t>
        </is>
      </c>
      <c r="D275" s="53" t="inlineStr">
        <is>
          <t>Conflent, Vallespir</t>
        </is>
      </c>
      <c r="E275" s="33" t="inlineStr">
        <is>
          <t>No essencial</t>
        </is>
      </c>
      <c r="F275" s="53" t="n"/>
      <c r="G275" s="33"/>
      <c r="H275" s="54"/>
      <c r="I275" s="53"/>
      <c r="J275" s="55" t="n">
        <v>42.51468</v>
      </c>
      <c r="K275" s="55" t="n">
        <v>2.55356</v>
      </c>
      <c r="L275" s="56" t="inlineStr">
        <is>
          <t>Fitxa ↗</t>
        </is>
      </c>
      <c r="M275" s="56" t="inlineStr">
        <is>
          <t>Mapa ↗</t>
        </is>
      </c>
      <c r="N275" s="33"/>
      <c r="O275" s="53"/>
    </row>
    <row r="276">
      <c r="A276" s="32" t="inlineStr">
        <is>
          <t>Santa Anna dels Quatre Termes</t>
        </is>
      </c>
      <c r="B276" s="52" t="n">
        <v>1348</v>
      </c>
      <c r="C276" s="53" t="inlineStr">
        <is>
          <t>Conflent</t>
        </is>
      </c>
      <c r="D276" s="53" t="inlineStr">
        <is>
          <t>Conflent, Rosselló</t>
        </is>
      </c>
      <c r="E276" s="33" t="inlineStr">
        <is>
          <t>No essencial</t>
        </is>
      </c>
      <c r="F276" s="53" t="n"/>
      <c r="G276" s="33"/>
      <c r="H276" s="54"/>
      <c r="I276" s="53"/>
      <c r="J276" s="55" t="n">
        <v>42.56532</v>
      </c>
      <c r="K276" s="55" t="n">
        <v>2.56128</v>
      </c>
      <c r="L276" s="56" t="inlineStr">
        <is>
          <t>Fitxa ↗</t>
        </is>
      </c>
      <c r="M276" s="56" t="inlineStr">
        <is>
          <t>Mapa ↗</t>
        </is>
      </c>
      <c r="N276" s="33"/>
      <c r="O276" s="53"/>
    </row>
    <row r="277">
      <c r="A277" s="32" t="inlineStr">
        <is>
          <t>Torre de Goà</t>
        </is>
      </c>
      <c r="B277" s="52" t="n">
        <v>1267</v>
      </c>
      <c r="C277" s="53" t="inlineStr">
        <is>
          <t>Conflent</t>
        </is>
      </c>
      <c r="D277" s="53" t="inlineStr">
        <is>
          <t>Conflent</t>
        </is>
      </c>
      <c r="E277" s="33" t="inlineStr">
        <is>
          <t>No essencial</t>
        </is>
      </c>
      <c r="F277" s="53" t="n"/>
      <c r="G277" s="33"/>
      <c r="H277" s="54"/>
      <c r="I277" s="53"/>
      <c r="J277" s="55" t="n">
        <v>42.52267</v>
      </c>
      <c r="K277" s="55" t="n">
        <v>2.37751</v>
      </c>
      <c r="L277" s="56" t="inlineStr">
        <is>
          <t>Fitxa ↗</t>
        </is>
      </c>
      <c r="M277" s="56" t="inlineStr">
        <is>
          <t>Mapa ↗</t>
        </is>
      </c>
      <c r="N277" s="33"/>
      <c r="O277" s="53"/>
    </row>
    <row r="278">
      <c r="A278" s="32" t="inlineStr">
        <is>
          <t>Roca Gelera</t>
        </is>
      </c>
      <c r="B278" s="52" t="n">
        <v>1110</v>
      </c>
      <c r="C278" s="53" t="inlineStr">
        <is>
          <t>Conflent</t>
        </is>
      </c>
      <c r="D278" s="53" t="inlineStr">
        <is>
          <t>Conflent</t>
        </is>
      </c>
      <c r="E278" s="33" t="inlineStr">
        <is>
          <t>No essencial</t>
        </is>
      </c>
      <c r="F278" s="53" t="n"/>
      <c r="G278" s="33"/>
      <c r="H278" s="54"/>
      <c r="I278" s="53"/>
      <c r="J278" s="55" t="n">
        <v>42.68511</v>
      </c>
      <c r="K278" s="55" t="n">
        <v>2.43771</v>
      </c>
      <c r="L278" s="56" t="inlineStr">
        <is>
          <t>Fitxa ↗</t>
        </is>
      </c>
      <c r="M278" s="56" t="inlineStr">
        <is>
          <t>Mapa ↗</t>
        </is>
      </c>
      <c r="N278" s="33"/>
      <c r="O278" s="53"/>
    </row>
    <row r="279">
      <c r="A279" s="32" t="inlineStr">
        <is>
          <t>Punta del General</t>
        </is>
      </c>
      <c r="B279" s="52" t="n">
        <v>923</v>
      </c>
      <c r="C279" s="53" t="inlineStr">
        <is>
          <t>Garrigues</t>
        </is>
      </c>
      <c r="D279" s="53" t="inlineStr">
        <is>
          <t>Garrigues, Priorat</t>
        </is>
      </c>
      <c r="E279" s="33" t="inlineStr">
        <is>
          <t>No essencial</t>
        </is>
      </c>
      <c r="F279" s="53" t="n"/>
      <c r="G279" s="33"/>
      <c r="H279" s="54"/>
      <c r="I279" s="53"/>
      <c r="J279" s="55" t="n">
        <v>41.34143</v>
      </c>
      <c r="K279" s="55" t="n">
        <v>0.87815</v>
      </c>
      <c r="L279" s="56" t="inlineStr">
        <is>
          <t>Fitxa ↗</t>
        </is>
      </c>
      <c r="M279" s="56" t="inlineStr">
        <is>
          <t>Mapa ↗</t>
        </is>
      </c>
      <c r="N279" s="33"/>
      <c r="O279" s="53"/>
    </row>
    <row r="280">
      <c r="A280" s="32" t="inlineStr">
        <is>
          <t>Els Bessons</t>
        </is>
      </c>
      <c r="B280" s="52" t="n">
        <v>593</v>
      </c>
      <c r="C280" s="53" t="inlineStr">
        <is>
          <t>Garrigues</t>
        </is>
      </c>
      <c r="D280" s="53" t="inlineStr">
        <is>
          <t>Garrigues</t>
        </is>
      </c>
      <c r="E280" s="33" t="inlineStr">
        <is>
          <t>Essencial</t>
        </is>
      </c>
      <c r="F280" s="53" t="n"/>
      <c r="G280" s="33"/>
      <c r="H280" s="54"/>
      <c r="I280" s="53"/>
      <c r="J280" s="55" t="n">
        <v>41.46656</v>
      </c>
      <c r="K280" s="55" t="n">
        <v>0.84713</v>
      </c>
      <c r="L280" s="56" t="inlineStr">
        <is>
          <t>Fitxa ↗</t>
        </is>
      </c>
      <c r="M280" s="56" t="inlineStr">
        <is>
          <t>Mapa ↗</t>
        </is>
      </c>
      <c r="N280" s="33"/>
      <c r="O280" s="53"/>
    </row>
    <row r="281">
      <c r="A281" s="32" t="inlineStr">
        <is>
          <t>Comanegra</t>
        </is>
      </c>
      <c r="B281" s="52" t="n">
        <v>1557</v>
      </c>
      <c r="C281" s="53" t="inlineStr">
        <is>
          <t>Garrotxa</t>
        </is>
      </c>
      <c r="D281" s="53" t="inlineStr">
        <is>
          <t>Garrotxa, Vallespir</t>
        </is>
      </c>
      <c r="E281" s="33" t="inlineStr">
        <is>
          <t>Essencial</t>
        </is>
      </c>
      <c r="F281" s="53" t="inlineStr">
        <is>
          <t>Garrotxa</t>
        </is>
      </c>
      <c r="G281" s="33"/>
      <c r="H281" s="54"/>
      <c r="I281" s="53"/>
      <c r="J281" s="55" t="n">
        <v>42.33331</v>
      </c>
      <c r="K281" s="55" t="n">
        <v>2.52776</v>
      </c>
      <c r="L281" s="56" t="inlineStr">
        <is>
          <t>Fitxa ↗</t>
        </is>
      </c>
      <c r="M281" s="56" t="inlineStr">
        <is>
          <t>Mapa ↗</t>
        </is>
      </c>
      <c r="N281" s="33"/>
      <c r="O281" s="53"/>
    </row>
    <row r="282">
      <c r="A282" s="32" t="inlineStr">
        <is>
          <t>Puigsacalm</t>
        </is>
      </c>
      <c r="B282" s="52" t="n">
        <v>1514</v>
      </c>
      <c r="C282" s="53" t="inlineStr">
        <is>
          <t>Garrotxa</t>
        </is>
      </c>
      <c r="D282" s="53" t="inlineStr">
        <is>
          <t>Garrotxa</t>
        </is>
      </c>
      <c r="E282" s="33" t="inlineStr">
        <is>
          <t>Essencial</t>
        </is>
      </c>
      <c r="F282" s="53" t="n"/>
      <c r="G282" s="33"/>
      <c r="H282" s="54"/>
      <c r="I282" s="53"/>
      <c r="J282" s="55" t="n">
        <v>42.12518</v>
      </c>
      <c r="K282" s="55" t="n">
        <v>2.38789</v>
      </c>
      <c r="L282" s="56" t="inlineStr">
        <is>
          <t>Fitxa ↗</t>
        </is>
      </c>
      <c r="M282" s="56" t="inlineStr">
        <is>
          <t>Mapa ↗</t>
        </is>
      </c>
      <c r="N282" s="33"/>
      <c r="O282" s="53"/>
    </row>
    <row r="283">
      <c r="A283" s="32" t="inlineStr">
        <is>
          <t>Puig Cubell</t>
        </is>
      </c>
      <c r="B283" s="52" t="n">
        <v>1488</v>
      </c>
      <c r="C283" s="53" t="inlineStr">
        <is>
          <t>Garrotxa</t>
        </is>
      </c>
      <c r="D283" s="53" t="inlineStr">
        <is>
          <t>Garrotxa, Osona</t>
        </is>
      </c>
      <c r="E283" s="33" t="inlineStr">
        <is>
          <t>No essencial</t>
        </is>
      </c>
      <c r="F283" s="53" t="n"/>
      <c r="G283" s="33"/>
      <c r="H283" s="54"/>
      <c r="I283" s="53"/>
      <c r="J283" s="55" t="n">
        <v>42.13767</v>
      </c>
      <c r="K283" s="55" t="n">
        <v>2.35088</v>
      </c>
      <c r="L283" s="56" t="inlineStr">
        <is>
          <t>Fitxa ↗</t>
        </is>
      </c>
      <c r="M283" s="56" t="inlineStr">
        <is>
          <t>Mapa ↗</t>
        </is>
      </c>
      <c r="N283" s="33"/>
      <c r="O283" s="53"/>
    </row>
    <row r="284">
      <c r="A284" s="32" t="inlineStr">
        <is>
          <t>Cabrera</t>
        </is>
      </c>
      <c r="B284" s="52" t="n">
        <v>1308</v>
      </c>
      <c r="C284" s="53" t="inlineStr">
        <is>
          <t>Garrotxa</t>
        </is>
      </c>
      <c r="D284" s="53" t="inlineStr">
        <is>
          <t>Garrotxa, Osona</t>
        </is>
      </c>
      <c r="E284" s="33" t="inlineStr">
        <is>
          <t>Essencial</t>
        </is>
      </c>
      <c r="F284" s="53" t="n"/>
      <c r="G284" s="33"/>
      <c r="H284" s="54"/>
      <c r="I284" s="53"/>
      <c r="J284" s="55" t="n">
        <v>42.076</v>
      </c>
      <c r="K284" s="55" t="n">
        <v>2.40727</v>
      </c>
      <c r="L284" s="56" t="inlineStr">
        <is>
          <t>Fitxa ↗</t>
        </is>
      </c>
      <c r="M284" s="56" t="inlineStr">
        <is>
          <t>Mapa ↗</t>
        </is>
      </c>
      <c r="N284" s="33"/>
      <c r="O284" s="53"/>
    </row>
    <row r="285">
      <c r="A285" s="32" t="inlineStr">
        <is>
          <t>Puig Ou</t>
        </is>
      </c>
      <c r="B285" s="52" t="n">
        <v>1300</v>
      </c>
      <c r="C285" s="53" t="inlineStr">
        <is>
          <t>Garrotxa</t>
        </is>
      </c>
      <c r="D285" s="53" t="inlineStr">
        <is>
          <t>Garrotxa, Ripollès</t>
        </is>
      </c>
      <c r="E285" s="33" t="inlineStr">
        <is>
          <t>Essencial</t>
        </is>
      </c>
      <c r="F285" s="53" t="n"/>
      <c r="G285" s="33"/>
      <c r="H285" s="54"/>
      <c r="I285" s="53"/>
      <c r="J285" s="55" t="n">
        <v>42.28413</v>
      </c>
      <c r="K285" s="55" t="n">
        <v>2.42776</v>
      </c>
      <c r="L285" s="56" t="inlineStr">
        <is>
          <t>Fitxa ↗</t>
        </is>
      </c>
      <c r="M285" s="56" t="inlineStr">
        <is>
          <t>Mapa ↗</t>
        </is>
      </c>
      <c r="N285" s="33"/>
      <c r="O285" s="53"/>
    </row>
    <row r="286">
      <c r="A286" s="32" t="inlineStr">
        <is>
          <t>Montmajor</t>
        </is>
      </c>
      <c r="B286" s="52" t="n">
        <v>1074</v>
      </c>
      <c r="C286" s="53" t="inlineStr">
        <is>
          <t>Garrotxa</t>
        </is>
      </c>
      <c r="D286" s="53" t="inlineStr">
        <is>
          <t>Garrotxa</t>
        </is>
      </c>
      <c r="E286" s="33" t="inlineStr">
        <is>
          <t>No essencial</t>
        </is>
      </c>
      <c r="F286" s="53" t="n"/>
      <c r="G286" s="33"/>
      <c r="H286" s="54"/>
      <c r="I286" s="53"/>
      <c r="J286" s="55" t="n">
        <v>42.26878</v>
      </c>
      <c r="K286" s="55" t="n">
        <v>2.48305</v>
      </c>
      <c r="L286" s="56" t="inlineStr">
        <is>
          <t>Fitxa ↗</t>
        </is>
      </c>
      <c r="M286" s="56" t="inlineStr">
        <is>
          <t>Mapa ↗</t>
        </is>
      </c>
      <c r="N286" s="33"/>
      <c r="O286" s="53"/>
    </row>
    <row r="287">
      <c r="A287" s="32" t="inlineStr">
        <is>
          <t>Puigsallança</t>
        </is>
      </c>
      <c r="B287" s="52" t="n">
        <v>1027</v>
      </c>
      <c r="C287" s="53" t="inlineStr">
        <is>
          <t>Garrotxa</t>
        </is>
      </c>
      <c r="D287" s="53" t="inlineStr">
        <is>
          <t>Garrotxa</t>
        </is>
      </c>
      <c r="E287" s="33" t="inlineStr">
        <is>
          <t>No essencial</t>
        </is>
      </c>
      <c r="F287" s="53" t="n"/>
      <c r="G287" s="33"/>
      <c r="H287" s="54"/>
      <c r="I287" s="53"/>
      <c r="J287" s="55" t="n">
        <v>42.11507</v>
      </c>
      <c r="K287" s="55" t="n">
        <v>2.58147</v>
      </c>
      <c r="L287" s="56" t="inlineStr">
        <is>
          <t>Fitxa ↗</t>
        </is>
      </c>
      <c r="M287" s="56" t="inlineStr">
        <is>
          <t>Mapa ↗</t>
        </is>
      </c>
      <c r="N287" s="33"/>
      <c r="O287" s="53"/>
    </row>
    <row r="288">
      <c r="A288" s="32" t="inlineStr">
        <is>
          <t>Roca Lladre</t>
        </is>
      </c>
      <c r="B288" s="52" t="n">
        <v>907</v>
      </c>
      <c r="C288" s="53" t="inlineStr">
        <is>
          <t>Garrotxa</t>
        </is>
      </c>
      <c r="D288" s="53" t="inlineStr">
        <is>
          <t>Garrotxa</t>
        </is>
      </c>
      <c r="E288" s="33" t="inlineStr">
        <is>
          <t>No essencial</t>
        </is>
      </c>
      <c r="F288" s="53" t="n"/>
      <c r="G288" s="33"/>
      <c r="H288" s="54"/>
      <c r="I288" s="53"/>
      <c r="J288" s="55" t="n">
        <v>42.13652</v>
      </c>
      <c r="K288" s="55" t="n">
        <v>2.49813</v>
      </c>
      <c r="L288" s="56" t="inlineStr">
        <is>
          <t>Fitxa ↗</t>
        </is>
      </c>
      <c r="M288" s="56" t="inlineStr">
        <is>
          <t>Mapa ↗</t>
        </is>
      </c>
      <c r="N288" s="33"/>
      <c r="O288" s="53"/>
    </row>
    <row r="289">
      <c r="A289" s="32" t="inlineStr">
        <is>
          <t>Sant Miquel del Mont</t>
        </is>
      </c>
      <c r="B289" s="52" t="n">
        <v>793</v>
      </c>
      <c r="C289" s="53" t="inlineStr">
        <is>
          <t>Garrotxa</t>
        </is>
      </c>
      <c r="D289" s="53" t="inlineStr">
        <is>
          <t>Garrotxa</t>
        </is>
      </c>
      <c r="E289" s="33" t="inlineStr">
        <is>
          <t>No essencial</t>
        </is>
      </c>
      <c r="F289" s="53" t="n"/>
      <c r="G289" s="33"/>
      <c r="H289" s="54"/>
      <c r="I289" s="53"/>
      <c r="J289" s="55" t="n">
        <v>42.19788</v>
      </c>
      <c r="K289" s="55" t="n">
        <v>2.44664</v>
      </c>
      <c r="L289" s="56" t="inlineStr">
        <is>
          <t>Fitxa ↗</t>
        </is>
      </c>
      <c r="M289" s="56" t="inlineStr">
        <is>
          <t>Mapa ↗</t>
        </is>
      </c>
      <c r="N289" s="33"/>
      <c r="O289" s="53"/>
    </row>
    <row r="290">
      <c r="A290" s="32" t="inlineStr">
        <is>
          <t>Volcà del Croscat</t>
        </is>
      </c>
      <c r="B290" s="52" t="n">
        <v>789</v>
      </c>
      <c r="C290" s="53" t="inlineStr">
        <is>
          <t>Garrotxa</t>
        </is>
      </c>
      <c r="D290" s="53" t="inlineStr">
        <is>
          <t>Garrotxa</t>
        </is>
      </c>
      <c r="E290" s="33" t="inlineStr">
        <is>
          <t>No essencial</t>
        </is>
      </c>
      <c r="F290" s="53" t="n"/>
      <c r="G290" s="33"/>
      <c r="H290" s="54"/>
      <c r="I290" s="53"/>
      <c r="J290" s="55" t="n">
        <v>42.15399</v>
      </c>
      <c r="K290" s="55" t="n">
        <v>2.53607</v>
      </c>
      <c r="L290" s="56" t="inlineStr">
        <is>
          <t>Fitxa ↗</t>
        </is>
      </c>
      <c r="M290" s="56" t="inlineStr">
        <is>
          <t>Mapa ↗</t>
        </is>
      </c>
      <c r="N290" s="33"/>
      <c r="O290" s="53"/>
    </row>
    <row r="291">
      <c r="A291" s="32" t="inlineStr">
        <is>
          <t>Sant Roc</t>
        </is>
      </c>
      <c r="B291" s="52" t="n">
        <v>598</v>
      </c>
      <c r="C291" s="53" t="inlineStr">
        <is>
          <t>Garrotxa</t>
        </is>
      </c>
      <c r="D291" s="53" t="inlineStr">
        <is>
          <t>Garrotxa, Gironès, Selva</t>
        </is>
      </c>
      <c r="E291" s="33" t="inlineStr">
        <is>
          <t>No essencial</t>
        </is>
      </c>
      <c r="F291" s="53" t="n"/>
      <c r="G291" s="33"/>
      <c r="H291" s="54"/>
      <c r="I291" s="53"/>
      <c r="J291" s="55" t="n">
        <v>42.01749</v>
      </c>
      <c r="K291" s="55" t="n">
        <v>2.6619</v>
      </c>
      <c r="L291" s="56" t="inlineStr">
        <is>
          <t>Fitxa ↗</t>
        </is>
      </c>
      <c r="M291" s="56" t="inlineStr">
        <is>
          <t>Mapa ↗</t>
        </is>
      </c>
      <c r="N291" s="33"/>
      <c r="O291" s="53"/>
    </row>
    <row r="292">
      <c r="A292" s="32" t="inlineStr">
        <is>
          <t>Puig Cadiretes</t>
        </is>
      </c>
      <c r="B292" s="52" t="n">
        <v>519</v>
      </c>
      <c r="C292" s="53" t="inlineStr">
        <is>
          <t>Gironès</t>
        </is>
      </c>
      <c r="D292" s="53" t="inlineStr">
        <is>
          <t>Gironès, Selva</t>
        </is>
      </c>
      <c r="E292" s="33" t="inlineStr">
        <is>
          <t>No essencial</t>
        </is>
      </c>
      <c r="F292" s="53" t="n"/>
      <c r="G292" s="33"/>
      <c r="H292" s="54"/>
      <c r="I292" s="53"/>
      <c r="J292" s="55" t="n">
        <v>41.75733</v>
      </c>
      <c r="K292" s="55" t="n">
        <v>2.92821</v>
      </c>
      <c r="L292" s="56" t="inlineStr">
        <is>
          <t>Fitxa ↗</t>
        </is>
      </c>
      <c r="M292" s="56" t="inlineStr">
        <is>
          <t>Mapa ↗</t>
        </is>
      </c>
      <c r="N292" s="33"/>
      <c r="O292" s="53"/>
    </row>
    <row r="293">
      <c r="A293" s="32" t="inlineStr">
        <is>
          <t>Sant Grau</t>
        </is>
      </c>
      <c r="B293" s="52" t="n">
        <v>500</v>
      </c>
      <c r="C293" s="53" t="inlineStr">
        <is>
          <t>Gironès</t>
        </is>
      </c>
      <c r="D293" s="53" t="inlineStr">
        <is>
          <t>Gironès</t>
        </is>
      </c>
      <c r="E293" s="33" t="inlineStr">
        <is>
          <t>No essencial</t>
        </is>
      </c>
      <c r="F293" s="53" t="n"/>
      <c r="G293" s="33"/>
      <c r="H293" s="54"/>
      <c r="I293" s="53"/>
      <c r="J293" s="55" t="n">
        <v>41.99244</v>
      </c>
      <c r="K293" s="55" t="n">
        <v>2.71511</v>
      </c>
      <c r="L293" s="56" t="inlineStr">
        <is>
          <t>Fitxa ↗</t>
        </is>
      </c>
      <c r="M293" s="56" t="inlineStr">
        <is>
          <t>Mapa ↗</t>
        </is>
      </c>
      <c r="N293" s="33"/>
      <c r="O293" s="53"/>
    </row>
    <row r="294">
      <c r="A294" s="32" t="inlineStr">
        <is>
          <t>Els Àngels</t>
        </is>
      </c>
      <c r="B294" s="52" t="n">
        <v>483</v>
      </c>
      <c r="C294" s="53" t="inlineStr">
        <is>
          <t>Gironès</t>
        </is>
      </c>
      <c r="D294" s="53" t="inlineStr">
        <is>
          <t>Gironès</t>
        </is>
      </c>
      <c r="E294" s="33" t="inlineStr">
        <is>
          <t>Essencial</t>
        </is>
      </c>
      <c r="F294" s="53" t="n"/>
      <c r="G294" s="33"/>
      <c r="H294" s="54"/>
      <c r="I294" s="53"/>
      <c r="J294" s="55" t="n">
        <v>41.9848</v>
      </c>
      <c r="K294" s="55" t="n">
        <v>2.90863</v>
      </c>
      <c r="L294" s="56" t="inlineStr">
        <is>
          <t>Fitxa ↗</t>
        </is>
      </c>
      <c r="M294" s="56" t="inlineStr">
        <is>
          <t>Mapa ↗</t>
        </is>
      </c>
      <c r="N294" s="33"/>
      <c r="O294" s="53"/>
    </row>
    <row r="295">
      <c r="A295" s="32" t="inlineStr">
        <is>
          <t>Montigalar</t>
        </is>
      </c>
      <c r="B295" s="52" t="n">
        <v>464</v>
      </c>
      <c r="C295" s="53" t="inlineStr">
        <is>
          <t>Gironès</t>
        </is>
      </c>
      <c r="D295" s="53" t="inlineStr">
        <is>
          <t>Gironès</t>
        </is>
      </c>
      <c r="E295" s="33" t="inlineStr">
        <is>
          <t>No essencial</t>
        </is>
      </c>
      <c r="F295" s="53" t="n"/>
      <c r="G295" s="33"/>
      <c r="H295" s="54"/>
      <c r="I295" s="53"/>
      <c r="J295" s="55" t="n">
        <v>41.96305</v>
      </c>
      <c r="K295" s="55" t="n">
        <v>2.92464</v>
      </c>
      <c r="L295" s="56" t="inlineStr">
        <is>
          <t>Fitxa ↗</t>
        </is>
      </c>
      <c r="M295" s="56" t="inlineStr">
        <is>
          <t>Mapa ↗</t>
        </is>
      </c>
      <c r="N295" s="33"/>
      <c r="O295" s="53"/>
    </row>
    <row r="296">
      <c r="A296" s="32" t="inlineStr">
        <is>
          <t>Castell de Sant Miquel</t>
        </is>
      </c>
      <c r="B296" s="52" t="n">
        <v>385</v>
      </c>
      <c r="C296" s="53" t="inlineStr">
        <is>
          <t>Gironès</t>
        </is>
      </c>
      <c r="D296" s="53" t="inlineStr">
        <is>
          <t>Gironès</t>
        </is>
      </c>
      <c r="E296" s="33" t="inlineStr">
        <is>
          <t>Essencial</t>
        </is>
      </c>
      <c r="F296" s="53" t="n"/>
      <c r="G296" s="33"/>
      <c r="H296" s="54"/>
      <c r="I296" s="53"/>
      <c r="J296" s="55" t="n">
        <v>42.0069</v>
      </c>
      <c r="K296" s="55" t="n">
        <v>2.86209</v>
      </c>
      <c r="L296" s="56" t="inlineStr">
        <is>
          <t>Fitxa ↗</t>
        </is>
      </c>
      <c r="M296" s="56" t="inlineStr">
        <is>
          <t>Mapa ↗</t>
        </is>
      </c>
      <c r="N296" s="33"/>
      <c r="O296" s="53"/>
    </row>
    <row r="297">
      <c r="A297" s="32" t="inlineStr">
        <is>
          <t>Castell de Lluçà</t>
        </is>
      </c>
      <c r="B297" s="52" t="n">
        <v>895</v>
      </c>
      <c r="C297" s="53" t="inlineStr">
        <is>
          <t>Lluçanès</t>
        </is>
      </c>
      <c r="D297" s="53" t="inlineStr">
        <is>
          <t xml:space="preserve">Lluçanès </t>
        </is>
      </c>
      <c r="E297" s="33" t="inlineStr">
        <is>
          <t>No essencial</t>
        </is>
      </c>
      <c r="F297" s="53" t="n"/>
      <c r="G297" s="33"/>
      <c r="H297" s="54"/>
      <c r="I297" s="53"/>
      <c r="J297" s="55" t="n">
        <v>42.05458</v>
      </c>
      <c r="K297" s="55" t="n">
        <v>2.04023</v>
      </c>
      <c r="L297" s="56" t="inlineStr">
        <is>
          <t>Fitxa ↗</t>
        </is>
      </c>
      <c r="M297" s="56" t="inlineStr">
        <is>
          <t>Mapa ↗</t>
        </is>
      </c>
      <c r="N297" s="33"/>
      <c r="O297" s="53"/>
    </row>
    <row r="298">
      <c r="A298" s="32" t="inlineStr">
        <is>
          <t>Montalt</t>
        </is>
      </c>
      <c r="B298" s="52" t="n">
        <v>597</v>
      </c>
      <c r="C298" s="53" t="inlineStr">
        <is>
          <t>Maresme</t>
        </is>
      </c>
      <c r="D298" s="53" t="inlineStr">
        <is>
          <t>Maresme</t>
        </is>
      </c>
      <c r="E298" s="33" t="inlineStr">
        <is>
          <t>Essencial</t>
        </is>
      </c>
      <c r="F298" s="53" t="n"/>
      <c r="G298" s="33"/>
      <c r="H298" s="54"/>
      <c r="I298" s="53"/>
      <c r="J298" s="55" t="n">
        <v>41.60413</v>
      </c>
      <c r="K298" s="55" t="n">
        <v>2.49632</v>
      </c>
      <c r="L298" s="56" t="inlineStr">
        <is>
          <t>Fitxa ↗</t>
        </is>
      </c>
      <c r="M298" s="56" t="inlineStr">
        <is>
          <t>Mapa ↗</t>
        </is>
      </c>
      <c r="N298" s="33"/>
      <c r="O298" s="53"/>
    </row>
    <row r="299">
      <c r="A299" s="32" t="inlineStr">
        <is>
          <t>Turó d’en Galzeran o d’en Mates</t>
        </is>
      </c>
      <c r="B299" s="52" t="n">
        <v>484</v>
      </c>
      <c r="C299" s="53" t="inlineStr">
        <is>
          <t>Maresme</t>
        </is>
      </c>
      <c r="D299" s="53" t="inlineStr">
        <is>
          <t>Maresme, Vallès Oriental</t>
        </is>
      </c>
      <c r="E299" s="33" t="inlineStr">
        <is>
          <t>No essencial</t>
        </is>
      </c>
      <c r="F299" s="53" t="n"/>
      <c r="G299" s="33"/>
      <c r="H299" s="54"/>
      <c r="I299" s="53"/>
      <c r="J299" s="55" t="n">
        <v>41.50469</v>
      </c>
      <c r="K299" s="55" t="n">
        <v>2.26664</v>
      </c>
      <c r="L299" s="56" t="inlineStr">
        <is>
          <t>Fitxa ↗</t>
        </is>
      </c>
      <c r="M299" s="56" t="inlineStr">
        <is>
          <t>Mapa ↗</t>
        </is>
      </c>
      <c r="N299" s="33"/>
      <c r="O299" s="53"/>
    </row>
    <row r="300">
      <c r="A300" s="32" t="inlineStr">
        <is>
          <t>Castell de Burriac</t>
        </is>
      </c>
      <c r="B300" s="52" t="n">
        <v>392</v>
      </c>
      <c r="C300" s="53" t="inlineStr">
        <is>
          <t>Maresme</t>
        </is>
      </c>
      <c r="D300" s="53" t="inlineStr">
        <is>
          <t>Maresme</t>
        </is>
      </c>
      <c r="E300" s="33" t="inlineStr">
        <is>
          <t>Essencial</t>
        </is>
      </c>
      <c r="F300" s="53" t="n"/>
      <c r="G300" s="33"/>
      <c r="H300" s="54"/>
      <c r="I300" s="53"/>
      <c r="J300" s="55" t="n">
        <v>41.53746</v>
      </c>
      <c r="K300" s="55" t="n">
        <v>2.38734</v>
      </c>
      <c r="L300" s="56" t="inlineStr">
        <is>
          <t>Fitxa ↗</t>
        </is>
      </c>
      <c r="M300" s="56" t="inlineStr">
        <is>
          <t>Mapa ↗</t>
        </is>
      </c>
      <c r="N300" s="33"/>
      <c r="O300" s="53"/>
    </row>
    <row r="301">
      <c r="A301" s="32" t="inlineStr">
        <is>
          <t>Montbarbat</t>
        </is>
      </c>
      <c r="B301" s="52" t="n">
        <v>328</v>
      </c>
      <c r="C301" s="53" t="inlineStr">
        <is>
          <t>Maresme</t>
        </is>
      </c>
      <c r="D301" s="53" t="inlineStr">
        <is>
          <t>Maresme, Selva</t>
        </is>
      </c>
      <c r="E301" s="33" t="inlineStr">
        <is>
          <t>No essencial</t>
        </is>
      </c>
      <c r="F301" s="53" t="n"/>
      <c r="G301" s="33"/>
      <c r="H301" s="54"/>
      <c r="I301" s="53"/>
      <c r="J301" s="55" t="n">
        <v>41.73551</v>
      </c>
      <c r="K301" s="55" t="n">
        <v>2.77666</v>
      </c>
      <c r="L301" s="56" t="inlineStr">
        <is>
          <t>Fitxa ↗</t>
        </is>
      </c>
      <c r="M301" s="56" t="inlineStr">
        <is>
          <t>Mapa ↗</t>
        </is>
      </c>
      <c r="N301" s="33"/>
      <c r="O301" s="53"/>
    </row>
    <row r="302">
      <c r="A302" s="32" t="inlineStr">
        <is>
          <t>Pedracastell o Creu de Canet</t>
        </is>
      </c>
      <c r="B302" s="52" t="n">
        <v>287</v>
      </c>
      <c r="C302" s="53" t="inlineStr">
        <is>
          <t>Maresme</t>
        </is>
      </c>
      <c r="D302" s="53" t="inlineStr">
        <is>
          <t>Maresme</t>
        </is>
      </c>
      <c r="E302" s="33" t="inlineStr">
        <is>
          <t>No essencial</t>
        </is>
      </c>
      <c r="F302" s="53" t="n"/>
      <c r="G302" s="33"/>
      <c r="H302" s="54"/>
      <c r="I302" s="53"/>
      <c r="J302" s="55" t="n">
        <v>41.60888</v>
      </c>
      <c r="K302" s="55" t="n">
        <v>2.57368</v>
      </c>
      <c r="L302" s="56" t="inlineStr">
        <is>
          <t>Fitxa ↗</t>
        </is>
      </c>
      <c r="M302" s="56" t="inlineStr">
        <is>
          <t>Mapa ↗</t>
        </is>
      </c>
      <c r="N302" s="33"/>
      <c r="O302" s="53"/>
    </row>
    <row r="303">
      <c r="A303" s="32" t="inlineStr">
        <is>
          <t>Montpalau</t>
        </is>
      </c>
      <c r="B303" s="52" t="n">
        <v>264</v>
      </c>
      <c r="C303" s="53" t="inlineStr">
        <is>
          <t>Maresme</t>
        </is>
      </c>
      <c r="D303" s="53" t="inlineStr">
        <is>
          <t>Maresme</t>
        </is>
      </c>
      <c r="E303" s="33" t="inlineStr">
        <is>
          <t>No essencial</t>
        </is>
      </c>
      <c r="F303" s="53" t="n"/>
      <c r="G303" s="33"/>
      <c r="H303" s="54"/>
      <c r="I303" s="53"/>
      <c r="J303" s="55" t="n">
        <v>41.64222</v>
      </c>
      <c r="K303" s="55" t="n">
        <v>2.67039</v>
      </c>
      <c r="L303" s="56" t="inlineStr">
        <is>
          <t>Fitxa ↗</t>
        </is>
      </c>
      <c r="M303" s="56" t="inlineStr">
        <is>
          <t>Mapa ↗</t>
        </is>
      </c>
      <c r="N303" s="33"/>
      <c r="O303" s="53"/>
    </row>
    <row r="304">
      <c r="A304" s="32" t="inlineStr">
        <is>
          <t>Turó d’Onofre Arnau</t>
        </is>
      </c>
      <c r="B304" s="52" t="n">
        <v>131</v>
      </c>
      <c r="C304" s="53" t="inlineStr">
        <is>
          <t>Maresme</t>
        </is>
      </c>
      <c r="D304" s="53" t="inlineStr">
        <is>
          <t>Maresme</t>
        </is>
      </c>
      <c r="E304" s="33" t="inlineStr">
        <is>
          <t>No essencial</t>
        </is>
      </c>
      <c r="F304" s="53" t="n"/>
      <c r="G304" s="33"/>
      <c r="H304" s="54"/>
      <c r="I304" s="53"/>
      <c r="J304" s="55" t="n">
        <v>41.55458</v>
      </c>
      <c r="K304" s="55" t="n">
        <v>2.46903</v>
      </c>
      <c r="L304" s="56" t="inlineStr">
        <is>
          <t>Fitxa ↗</t>
        </is>
      </c>
      <c r="M304" s="56" t="inlineStr">
        <is>
          <t>Mapa ↗</t>
        </is>
      </c>
      <c r="N304" s="33"/>
      <c r="O304" s="53"/>
    </row>
    <row r="305">
      <c r="A305" s="32" t="inlineStr">
        <is>
          <t>Turó de Montgat</t>
        </is>
      </c>
      <c r="B305" s="52" t="n">
        <v>40</v>
      </c>
      <c r="C305" s="53" t="inlineStr">
        <is>
          <t>Maresme</t>
        </is>
      </c>
      <c r="D305" s="53" t="inlineStr">
        <is>
          <t>Maresme</t>
        </is>
      </c>
      <c r="E305" s="33" t="inlineStr">
        <is>
          <t>No essencial</t>
        </is>
      </c>
      <c r="F305" s="53" t="n"/>
      <c r="G305" s="33"/>
      <c r="H305" s="54"/>
      <c r="I305" s="53"/>
      <c r="J305" s="55" t="n">
        <v>41.46589</v>
      </c>
      <c r="K305" s="55" t="n">
        <v>2.27868</v>
      </c>
      <c r="L305" s="56" t="inlineStr">
        <is>
          <t>Fitxa ↗</t>
        </is>
      </c>
      <c r="M305" s="56" t="inlineStr">
        <is>
          <t>Mapa ↗</t>
        </is>
      </c>
      <c r="N305" s="33"/>
      <c r="O305" s="53"/>
    </row>
    <row r="306">
      <c r="A306" s="32" t="inlineStr">
        <is>
          <t>Turó de Bellver</t>
        </is>
      </c>
      <c r="B306" s="52" t="n">
        <v>1045</v>
      </c>
      <c r="C306" s="53" t="inlineStr">
        <is>
          <t>Moianès</t>
        </is>
      </c>
      <c r="D306" s="53" t="inlineStr">
        <is>
          <t>Moianès</t>
        </is>
      </c>
      <c r="E306" s="33" t="inlineStr">
        <is>
          <t>No essencial</t>
        </is>
      </c>
      <c r="F306" s="53" t="n"/>
      <c r="G306" s="33"/>
      <c r="H306" s="54"/>
      <c r="I306" s="53"/>
      <c r="J306" s="55" t="n">
        <v>41.84715</v>
      </c>
      <c r="K306" s="55" t="n">
        <v>2.17154</v>
      </c>
      <c r="L306" s="56" t="inlineStr">
        <is>
          <t>Fitxa ↗</t>
        </is>
      </c>
      <c r="M306" s="56" t="inlineStr">
        <is>
          <t>Mapa ↗</t>
        </is>
      </c>
      <c r="N306" s="33"/>
      <c r="O306" s="53"/>
    </row>
    <row r="307">
      <c r="A307" s="32" t="inlineStr">
        <is>
          <t>Puig de la Caritat</t>
        </is>
      </c>
      <c r="B307" s="52" t="n">
        <v>1010</v>
      </c>
      <c r="C307" s="53" t="inlineStr">
        <is>
          <t>Moianès</t>
        </is>
      </c>
      <c r="D307" s="53" t="inlineStr">
        <is>
          <t>Moianès</t>
        </is>
      </c>
      <c r="E307" s="33" t="inlineStr">
        <is>
          <t>Essencial</t>
        </is>
      </c>
      <c r="F307" s="53" t="n"/>
      <c r="G307" s="33"/>
      <c r="H307" s="54"/>
      <c r="I307" s="53"/>
      <c r="J307" s="55" t="n">
        <v>41.8758</v>
      </c>
      <c r="K307" s="55" t="n">
        <v>2.10883</v>
      </c>
      <c r="L307" s="56" t="inlineStr">
        <is>
          <t>Fitxa ↗</t>
        </is>
      </c>
      <c r="M307" s="56" t="inlineStr">
        <is>
          <t>Mapa ↗</t>
        </is>
      </c>
      <c r="N307" s="33"/>
      <c r="O307" s="53"/>
    </row>
    <row r="308">
      <c r="A308" s="32" t="inlineStr">
        <is>
          <t>Còdol del Castellar</t>
        </is>
      </c>
      <c r="B308" s="52" t="n">
        <v>832</v>
      </c>
      <c r="C308" s="53" t="inlineStr">
        <is>
          <t>Moianès</t>
        </is>
      </c>
      <c r="D308" s="53" t="inlineStr">
        <is>
          <t>Moianès</t>
        </is>
      </c>
      <c r="E308" s="33" t="inlineStr">
        <is>
          <t>No essencial</t>
        </is>
      </c>
      <c r="F308" s="53" t="n"/>
      <c r="G308" s="33"/>
      <c r="H308" s="54"/>
      <c r="I308" s="53"/>
      <c r="J308" s="55" t="n">
        <v>41.74094</v>
      </c>
      <c r="K308" s="55" t="n">
        <v>2.05958</v>
      </c>
      <c r="L308" s="56" t="inlineStr">
        <is>
          <t>Fitxa ↗</t>
        </is>
      </c>
      <c r="M308" s="56" t="inlineStr">
        <is>
          <t>Mapa ↗</t>
        </is>
      </c>
      <c r="N308" s="33"/>
      <c r="O308" s="53"/>
    </row>
    <row r="309">
      <c r="A309" s="32" t="inlineStr">
        <is>
          <t>Tossal dels Tres Reis</t>
        </is>
      </c>
      <c r="B309" s="52" t="n">
        <v>1350</v>
      </c>
      <c r="C309" s="53" t="inlineStr">
        <is>
          <t>Montsià</t>
        </is>
      </c>
      <c r="D309" s="53" t="inlineStr">
        <is>
          <t>Montsià</t>
        </is>
      </c>
      <c r="E309" s="33" t="inlineStr">
        <is>
          <t>Essencial</t>
        </is>
      </c>
      <c r="F309" s="53" t="inlineStr">
        <is>
          <t>Montsià</t>
        </is>
      </c>
      <c r="G309" s="33"/>
      <c r="H309" s="54"/>
      <c r="I309" s="53"/>
      <c r="J309" s="55" t="n">
        <v>40.73279</v>
      </c>
      <c r="K309" s="55" t="n">
        <v>0.17023</v>
      </c>
      <c r="L309" s="56" t="inlineStr">
        <is>
          <t>Fitxa ↗</t>
        </is>
      </c>
      <c r="M309" s="56" t="inlineStr">
        <is>
          <t>Mapa ↗</t>
        </is>
      </c>
      <c r="N309" s="33"/>
      <c r="O309" s="53"/>
    </row>
    <row r="310">
      <c r="A310" s="32" t="inlineStr">
        <is>
          <t>El Negrell</t>
        </is>
      </c>
      <c r="B310" s="52" t="n">
        <v>1345</v>
      </c>
      <c r="C310" s="53" t="inlineStr">
        <is>
          <t>Montsià</t>
        </is>
      </c>
      <c r="D310" s="53" t="inlineStr">
        <is>
          <t>Montsià</t>
        </is>
      </c>
      <c r="E310" s="33" t="inlineStr">
        <is>
          <t>No essencial</t>
        </is>
      </c>
      <c r="F310" s="53" t="n"/>
      <c r="G310" s="33"/>
      <c r="H310" s="54"/>
      <c r="I310" s="53"/>
      <c r="J310" s="55" t="n">
        <v>40.73416</v>
      </c>
      <c r="K310" s="55" t="n">
        <v>0.22733</v>
      </c>
      <c r="L310" s="56" t="inlineStr">
        <is>
          <t>Fitxa ↗</t>
        </is>
      </c>
      <c r="M310" s="56" t="inlineStr">
        <is>
          <t>Mapa ↗</t>
        </is>
      </c>
      <c r="N310" s="33"/>
      <c r="O310" s="53"/>
    </row>
    <row r="311">
      <c r="A311" s="32" t="inlineStr">
        <is>
          <t>la Portella del Pinell</t>
        </is>
      </c>
      <c r="B311" s="52" t="n">
        <v>1098</v>
      </c>
      <c r="C311" s="53" t="inlineStr">
        <is>
          <t>Montsià</t>
        </is>
      </c>
      <c r="D311" s="53" t="inlineStr">
        <is>
          <t>Montsià</t>
        </is>
      </c>
      <c r="E311" s="33" t="inlineStr">
        <is>
          <t>No essencial</t>
        </is>
      </c>
      <c r="F311" s="53" t="n"/>
      <c r="G311" s="33"/>
      <c r="H311" s="54"/>
      <c r="I311" s="53"/>
      <c r="J311" s="55" t="n">
        <v>40.71278</v>
      </c>
      <c r="K311" s="55" t="n">
        <v>0.30642</v>
      </c>
      <c r="L311" s="56" t="inlineStr">
        <is>
          <t>Fitxa ↗</t>
        </is>
      </c>
      <c r="M311" s="56" t="inlineStr">
        <is>
          <t>Mapa ↗</t>
        </is>
      </c>
      <c r="N311" s="33"/>
      <c r="O311" s="53"/>
    </row>
    <row r="312">
      <c r="A312" s="32" t="inlineStr">
        <is>
          <t>Torreta del Montsià</t>
        </is>
      </c>
      <c r="B312" s="52" t="n">
        <v>763</v>
      </c>
      <c r="C312" s="53" t="inlineStr">
        <is>
          <t>Montsià</t>
        </is>
      </c>
      <c r="D312" s="53" t="inlineStr">
        <is>
          <t>Montsià</t>
        </is>
      </c>
      <c r="E312" s="33" t="inlineStr">
        <is>
          <t>Essencial</t>
        </is>
      </c>
      <c r="F312" s="53" t="n"/>
      <c r="G312" s="33"/>
      <c r="H312" s="54"/>
      <c r="I312" s="53"/>
      <c r="J312" s="55" t="n">
        <v>40.61364</v>
      </c>
      <c r="K312" s="55" t="n">
        <v>0.53033</v>
      </c>
      <c r="L312" s="56" t="inlineStr">
        <is>
          <t>Fitxa ↗</t>
        </is>
      </c>
      <c r="M312" s="56" t="inlineStr">
        <is>
          <t>Mapa ↗</t>
        </is>
      </c>
      <c r="N312" s="33"/>
      <c r="O312" s="53"/>
    </row>
    <row r="313">
      <c r="A313" s="32" t="inlineStr">
        <is>
          <t>els Quatre Mollons</t>
        </is>
      </c>
      <c r="B313" s="52" t="n">
        <v>433</v>
      </c>
      <c r="C313" s="53" t="inlineStr">
        <is>
          <t>Montsià</t>
        </is>
      </c>
      <c r="D313" s="53" t="inlineStr">
        <is>
          <t>Montsià</t>
        </is>
      </c>
      <c r="E313" s="33" t="inlineStr">
        <is>
          <t>No essencial</t>
        </is>
      </c>
      <c r="F313" s="53" t="n"/>
      <c r="G313" s="33"/>
      <c r="H313" s="54"/>
      <c r="I313" s="53"/>
      <c r="J313" s="55" t="n">
        <v>40.64303</v>
      </c>
      <c r="K313" s="55" t="n">
        <v>0.56188</v>
      </c>
      <c r="L313" s="56" t="inlineStr">
        <is>
          <t>Fitxa ↗</t>
        </is>
      </c>
      <c r="M313" s="56" t="inlineStr">
        <is>
          <t>Mapa ↗</t>
        </is>
      </c>
      <c r="N313" s="33"/>
      <c r="O313" s="53"/>
    </row>
    <row r="314">
      <c r="A314" s="32" t="inlineStr">
        <is>
          <t>la Cogula</t>
        </is>
      </c>
      <c r="B314" s="52" t="n">
        <v>406</v>
      </c>
      <c r="C314" s="53" t="inlineStr">
        <is>
          <t>Montsià</t>
        </is>
      </c>
      <c r="D314" s="53" t="inlineStr">
        <is>
          <t>Montsià</t>
        </is>
      </c>
      <c r="E314" s="33" t="inlineStr">
        <is>
          <t>No essencial</t>
        </is>
      </c>
      <c r="F314" s="53" t="n"/>
      <c r="G314" s="33"/>
      <c r="H314" s="54"/>
      <c r="I314" s="53"/>
      <c r="J314" s="55" t="n">
        <v>40.57723</v>
      </c>
      <c r="K314" s="55" t="n">
        <v>0.48247</v>
      </c>
      <c r="L314" s="56" t="inlineStr">
        <is>
          <t>Fitxa ↗</t>
        </is>
      </c>
      <c r="M314" s="56" t="inlineStr">
        <is>
          <t>Mapa ↗</t>
        </is>
      </c>
      <c r="N314" s="33"/>
      <c r="O314" s="53"/>
    </row>
    <row r="315">
      <c r="A315" s="32" t="inlineStr">
        <is>
          <t>El Montsianell</t>
        </is>
      </c>
      <c r="B315" s="52" t="n">
        <v>293</v>
      </c>
      <c r="C315" s="53" t="inlineStr">
        <is>
          <t>Montsià</t>
        </is>
      </c>
      <c r="D315" s="53" t="inlineStr">
        <is>
          <t>Montsià</t>
        </is>
      </c>
      <c r="E315" s="33" t="inlineStr">
        <is>
          <t>No essencial</t>
        </is>
      </c>
      <c r="F315" s="53" t="n"/>
      <c r="G315" s="33"/>
      <c r="H315" s="54"/>
      <c r="I315" s="53"/>
      <c r="J315" s="55" t="n">
        <v>40.68302</v>
      </c>
      <c r="K315" s="55" t="n">
        <v>0.5556</v>
      </c>
      <c r="L315" s="56" t="inlineStr">
        <is>
          <t>Fitxa ↗</t>
        </is>
      </c>
      <c r="M315" s="56" t="inlineStr">
        <is>
          <t>Mapa ↗</t>
        </is>
      </c>
      <c r="N315" s="33"/>
      <c r="O315" s="53"/>
    </row>
    <row r="316">
      <c r="A316" s="32" t="inlineStr">
        <is>
          <t>Penya Sant Alís</t>
        </is>
      </c>
      <c r="B316" s="52" t="n">
        <v>1675</v>
      </c>
      <c r="C316" s="53" t="inlineStr">
        <is>
          <t>Noguera</t>
        </is>
      </c>
      <c r="D316" s="53" t="inlineStr">
        <is>
          <t>Noguera, Pallars Jussà</t>
        </is>
      </c>
      <c r="E316" s="33" t="inlineStr">
        <is>
          <t>Essencial</t>
        </is>
      </c>
      <c r="F316" s="53" t="n"/>
      <c r="G316" s="33"/>
      <c r="H316" s="54"/>
      <c r="I316" s="53"/>
      <c r="J316" s="55" t="n">
        <v>42.03986</v>
      </c>
      <c r="K316" s="55" t="n">
        <v>0.76657</v>
      </c>
      <c r="L316" s="56" t="inlineStr">
        <is>
          <t>Fitxa ↗</t>
        </is>
      </c>
      <c r="M316" s="56" t="inlineStr">
        <is>
          <t>Mapa ↗</t>
        </is>
      </c>
      <c r="N316" s="33"/>
      <c r="O316" s="53"/>
    </row>
    <row r="317">
      <c r="A317" s="32" t="inlineStr">
        <is>
          <t>Tossal de Mirapallars</t>
        </is>
      </c>
      <c r="B317" s="52" t="n">
        <v>1672</v>
      </c>
      <c r="C317" s="53" t="inlineStr">
        <is>
          <t>Noguera</t>
        </is>
      </c>
      <c r="D317" s="53" t="inlineStr">
        <is>
          <t>Noguera, Pallars Jussà</t>
        </is>
      </c>
      <c r="E317" s="33" t="inlineStr">
        <is>
          <t>Essencial</t>
        </is>
      </c>
      <c r="F317" s="53" t="n"/>
      <c r="G317" s="33"/>
      <c r="H317" s="54"/>
      <c r="I317" s="53"/>
      <c r="J317" s="55" t="n">
        <v>42.02107</v>
      </c>
      <c r="K317" s="55" t="n">
        <v>0.95903</v>
      </c>
      <c r="L317" s="56" t="inlineStr">
        <is>
          <t>Fitxa ↗</t>
        </is>
      </c>
      <c r="M317" s="56" t="inlineStr">
        <is>
          <t>Mapa ↗</t>
        </is>
      </c>
      <c r="N317" s="33"/>
      <c r="O317" s="53"/>
    </row>
    <row r="318">
      <c r="A318" s="32" t="inlineStr">
        <is>
          <t>lo Peladet</t>
        </is>
      </c>
      <c r="B318" s="52" t="n">
        <v>1471</v>
      </c>
      <c r="C318" s="53" t="inlineStr">
        <is>
          <t>Noguera</t>
        </is>
      </c>
      <c r="D318" s="53" t="inlineStr">
        <is>
          <t>Noguera, Pallars Jussà</t>
        </is>
      </c>
      <c r="E318" s="33" t="inlineStr">
        <is>
          <t>No essencial</t>
        </is>
      </c>
      <c r="F318" s="53" t="n"/>
      <c r="G318" s="33"/>
      <c r="H318" s="54"/>
      <c r="I318" s="53"/>
      <c r="J318" s="55" t="n">
        <v>42.02627</v>
      </c>
      <c r="K318" s="55" t="n">
        <v>0.9124</v>
      </c>
      <c r="L318" s="56" t="inlineStr">
        <is>
          <t>Fitxa ↗</t>
        </is>
      </c>
      <c r="M318" s="56" t="inlineStr">
        <is>
          <t>Mapa ↗</t>
        </is>
      </c>
      <c r="N318" s="33"/>
      <c r="O318" s="53"/>
    </row>
    <row r="319">
      <c r="A319" s="32" t="inlineStr">
        <is>
          <t>Sant Mamet</t>
        </is>
      </c>
      <c r="B319" s="52" t="n">
        <v>1391</v>
      </c>
      <c r="C319" s="53" t="inlineStr">
        <is>
          <t>Noguera</t>
        </is>
      </c>
      <c r="D319" s="53" t="inlineStr">
        <is>
          <t>Noguera</t>
        </is>
      </c>
      <c r="E319" s="33" t="inlineStr">
        <is>
          <t>Essencial</t>
        </is>
      </c>
      <c r="F319" s="53" t="n"/>
      <c r="G319" s="33"/>
      <c r="H319" s="54"/>
      <c r="I319" s="53"/>
      <c r="J319" s="55" t="n">
        <v>41.97782</v>
      </c>
      <c r="K319" s="55" t="n">
        <v>0.94131</v>
      </c>
      <c r="L319" s="56" t="inlineStr">
        <is>
          <t>Fitxa ↗</t>
        </is>
      </c>
      <c r="M319" s="56" t="inlineStr">
        <is>
          <t>Mapa ↗</t>
        </is>
      </c>
      <c r="N319" s="33"/>
      <c r="O319" s="53"/>
    </row>
    <row r="320">
      <c r="A320" s="32" t="inlineStr">
        <is>
          <t>Roca Roja</t>
        </is>
      </c>
      <c r="B320" s="52" t="n">
        <v>1239</v>
      </c>
      <c r="C320" s="53" t="inlineStr">
        <is>
          <t>Noguera</t>
        </is>
      </c>
      <c r="D320" s="53" t="inlineStr">
        <is>
          <t>Noguera, Pallars Jussà</t>
        </is>
      </c>
      <c r="E320" s="33" t="inlineStr">
        <is>
          <t>No essencial</t>
        </is>
      </c>
      <c r="F320" s="53" t="n"/>
      <c r="G320" s="33"/>
      <c r="H320" s="54"/>
      <c r="I320" s="53"/>
      <c r="J320" s="55" t="n">
        <v>42.07221</v>
      </c>
      <c r="K320" s="55" t="n">
        <v>1.10016</v>
      </c>
      <c r="L320" s="56" t="inlineStr">
        <is>
          <t>Fitxa ↗</t>
        </is>
      </c>
      <c r="M320" s="56" t="inlineStr">
        <is>
          <t>Mapa ↗</t>
        </is>
      </c>
      <c r="N320" s="33"/>
      <c r="O320" s="53"/>
    </row>
    <row r="321">
      <c r="A321" s="32" t="inlineStr">
        <is>
          <t>Puig de Millà</t>
        </is>
      </c>
      <c r="B321" s="52" t="n">
        <v>1025</v>
      </c>
      <c r="C321" s="53" t="inlineStr">
        <is>
          <t>Noguera</t>
        </is>
      </c>
      <c r="D321" s="53" t="inlineStr">
        <is>
          <t>Noguera</t>
        </is>
      </c>
      <c r="E321" s="33" t="inlineStr">
        <is>
          <t>No essencial</t>
        </is>
      </c>
      <c r="F321" s="53" t="n"/>
      <c r="G321" s="33"/>
      <c r="H321" s="54"/>
      <c r="I321" s="53"/>
      <c r="J321" s="55" t="n">
        <v>42.00172</v>
      </c>
      <c r="K321" s="55" t="n">
        <v>0.67219</v>
      </c>
      <c r="L321" s="56" t="inlineStr">
        <is>
          <t>Fitxa ↗</t>
        </is>
      </c>
      <c r="M321" s="56" t="inlineStr">
        <is>
          <t>Mapa ↗</t>
        </is>
      </c>
      <c r="N321" s="33"/>
      <c r="O321" s="53"/>
    </row>
    <row r="322">
      <c r="A322" s="32" t="inlineStr">
        <is>
          <t>Punta d’Ossos</t>
        </is>
      </c>
      <c r="B322" s="52" t="n">
        <v>1014</v>
      </c>
      <c r="C322" s="53" t="inlineStr">
        <is>
          <t>Noguera</t>
        </is>
      </c>
      <c r="D322" s="53" t="inlineStr">
        <is>
          <t>Noguera</t>
        </is>
      </c>
      <c r="E322" s="33" t="inlineStr">
        <is>
          <t>No essencial</t>
        </is>
      </c>
      <c r="F322" s="53" t="n"/>
      <c r="G322" s="33"/>
      <c r="H322" s="54"/>
      <c r="I322" s="53"/>
      <c r="J322" s="55" t="n">
        <v>41.9498</v>
      </c>
      <c r="K322" s="55" t="n">
        <v>0.6324</v>
      </c>
      <c r="L322" s="56" t="inlineStr">
        <is>
          <t>Fitxa ↗</t>
        </is>
      </c>
      <c r="M322" s="56" t="inlineStr">
        <is>
          <t>Mapa ↗</t>
        </is>
      </c>
      <c r="N322" s="33"/>
      <c r="O322" s="53"/>
    </row>
    <row r="323">
      <c r="A323" s="32" t="inlineStr">
        <is>
          <t>el Cogulló</t>
        </is>
      </c>
      <c r="B323" s="52" t="n">
        <v>1002</v>
      </c>
      <c r="C323" s="53" t="inlineStr">
        <is>
          <t>Noguera</t>
        </is>
      </c>
      <c r="D323" s="53" t="inlineStr">
        <is>
          <t>Noguera</t>
        </is>
      </c>
      <c r="E323" s="33" t="inlineStr">
        <is>
          <t>No essencial</t>
        </is>
      </c>
      <c r="F323" s="53" t="n"/>
      <c r="G323" s="33"/>
      <c r="H323" s="54"/>
      <c r="I323" s="53"/>
      <c r="J323" s="55" t="n">
        <v>41.99818</v>
      </c>
      <c r="K323" s="55" t="n">
        <v>1.03918</v>
      </c>
      <c r="L323" s="56" t="inlineStr">
        <is>
          <t>Fitxa ↗</t>
        </is>
      </c>
      <c r="M323" s="56" t="inlineStr">
        <is>
          <t>Mapa ↗</t>
        </is>
      </c>
      <c r="N323" s="33"/>
      <c r="O323" s="53"/>
    </row>
    <row r="324">
      <c r="A324" s="32" t="inlineStr">
        <is>
          <t>Los Picons</t>
        </is>
      </c>
      <c r="B324" s="52" t="n">
        <v>951</v>
      </c>
      <c r="C324" s="53" t="inlineStr">
        <is>
          <t>Noguera</t>
        </is>
      </c>
      <c r="D324" s="53" t="inlineStr">
        <is>
          <t>Noguera</t>
        </is>
      </c>
      <c r="E324" s="33" t="inlineStr">
        <is>
          <t>No essencial</t>
        </is>
      </c>
      <c r="F324" s="53" t="n"/>
      <c r="G324" s="33"/>
      <c r="H324" s="54"/>
      <c r="I324" s="53"/>
      <c r="J324" s="55" t="n">
        <v>41.92584</v>
      </c>
      <c r="K324" s="55" t="n">
        <v>0.64157</v>
      </c>
      <c r="L324" s="56" t="inlineStr">
        <is>
          <t>Fitxa ↗</t>
        </is>
      </c>
      <c r="M324" s="56" t="inlineStr">
        <is>
          <t>Mapa ↗</t>
        </is>
      </c>
      <c r="N324" s="33"/>
      <c r="O324" s="53"/>
    </row>
    <row r="325">
      <c r="A325" s="32" t="inlineStr">
        <is>
          <t>Pala Alta</t>
        </is>
      </c>
      <c r="B325" s="52" t="n">
        <v>947</v>
      </c>
      <c r="C325" s="53" t="inlineStr">
        <is>
          <t>Noguera</t>
        </is>
      </c>
      <c r="D325" s="53" t="inlineStr">
        <is>
          <t>Noguera</t>
        </is>
      </c>
      <c r="E325" s="33" t="inlineStr">
        <is>
          <t>Essencial</t>
        </is>
      </c>
      <c r="F325" s="53" t="n"/>
      <c r="G325" s="33"/>
      <c r="H325" s="54"/>
      <c r="I325" s="53"/>
      <c r="J325" s="55" t="n">
        <v>41.89629</v>
      </c>
      <c r="K325" s="55" t="n">
        <v>0.83635</v>
      </c>
      <c r="L325" s="56" t="inlineStr">
        <is>
          <t>Fitxa ↗</t>
        </is>
      </c>
      <c r="M325" s="56" t="inlineStr">
        <is>
          <t>Mapa ↗</t>
        </is>
      </c>
      <c r="N325" s="33"/>
      <c r="O325" s="53"/>
    </row>
    <row r="326">
      <c r="A326" s="32" t="inlineStr">
        <is>
          <t>Malera</t>
        </is>
      </c>
      <c r="B326" s="52" t="n">
        <v>877</v>
      </c>
      <c r="C326" s="53" t="inlineStr">
        <is>
          <t>Noguera</t>
        </is>
      </c>
      <c r="D326" s="53" t="inlineStr">
        <is>
          <t>Noguera</t>
        </is>
      </c>
      <c r="E326" s="33" t="inlineStr">
        <is>
          <t>No essencial</t>
        </is>
      </c>
      <c r="F326" s="53" t="n"/>
      <c r="G326" s="33"/>
      <c r="H326" s="54"/>
      <c r="I326" s="53"/>
      <c r="J326" s="55" t="n">
        <v>41.9299</v>
      </c>
      <c r="K326" s="55" t="n">
        <v>0.72044</v>
      </c>
      <c r="L326" s="56" t="inlineStr">
        <is>
          <t>Fitxa ↗</t>
        </is>
      </c>
      <c r="M326" s="56" t="inlineStr">
        <is>
          <t>Mapa ↗</t>
        </is>
      </c>
      <c r="N326" s="33"/>
      <c r="O326" s="53"/>
    </row>
    <row r="327">
      <c r="A327" s="32" t="inlineStr">
        <is>
          <t>Montmagastre</t>
        </is>
      </c>
      <c r="B327" s="52" t="n">
        <v>762</v>
      </c>
      <c r="C327" s="53" t="inlineStr">
        <is>
          <t>Noguera</t>
        </is>
      </c>
      <c r="D327" s="53" t="inlineStr">
        <is>
          <t>Noguera</t>
        </is>
      </c>
      <c r="E327" s="33" t="inlineStr">
        <is>
          <t>No essencial</t>
        </is>
      </c>
      <c r="F327" s="53" t="n"/>
      <c r="G327" s="33"/>
      <c r="H327" s="54"/>
      <c r="I327" s="53"/>
      <c r="J327" s="55" t="n">
        <v>41.97656</v>
      </c>
      <c r="K327" s="55" t="n">
        <v>1.12875</v>
      </c>
      <c r="L327" s="56" t="inlineStr">
        <is>
          <t>Fitxa ↗</t>
        </is>
      </c>
      <c r="M327" s="56" t="inlineStr">
        <is>
          <t>Mapa ↗</t>
        </is>
      </c>
      <c r="N327" s="33"/>
      <c r="O327" s="53"/>
    </row>
    <row r="328">
      <c r="A328" s="32" t="inlineStr">
        <is>
          <t>Tossal de Sant Jordi</t>
        </is>
      </c>
      <c r="B328" s="52" t="n">
        <v>740</v>
      </c>
      <c r="C328" s="53" t="inlineStr">
        <is>
          <t>Noguera</t>
        </is>
      </c>
      <c r="D328" s="53" t="inlineStr">
        <is>
          <t>Noguera</t>
        </is>
      </c>
      <c r="E328" s="33" t="inlineStr">
        <is>
          <t>No essencial</t>
        </is>
      </c>
      <c r="F328" s="53" t="n"/>
      <c r="G328" s="33"/>
      <c r="H328" s="54"/>
      <c r="I328" s="53"/>
      <c r="J328" s="55" t="n">
        <v>41.89905</v>
      </c>
      <c r="K328" s="55" t="n">
        <v>0.89247</v>
      </c>
      <c r="L328" s="56" t="inlineStr">
        <is>
          <t>Fitxa ↗</t>
        </is>
      </c>
      <c r="M328" s="56" t="inlineStr">
        <is>
          <t>Mapa ↗</t>
        </is>
      </c>
      <c r="N328" s="33"/>
      <c r="O328" s="53"/>
    </row>
    <row r="329">
      <c r="A329" s="32" t="inlineStr">
        <is>
          <t>Mont-roig (Cim de les Altures)</t>
        </is>
      </c>
      <c r="B329" s="52" t="n">
        <v>715</v>
      </c>
      <c r="C329" s="53" t="inlineStr">
        <is>
          <t>Noguera</t>
        </is>
      </c>
      <c r="D329" s="53" t="inlineStr">
        <is>
          <t>Noguera</t>
        </is>
      </c>
      <c r="E329" s="33" t="inlineStr">
        <is>
          <t>No essencial</t>
        </is>
      </c>
      <c r="F329" s="53" t="n"/>
      <c r="G329" s="33"/>
      <c r="H329" s="54"/>
      <c r="I329" s="53"/>
      <c r="J329" s="55" t="n">
        <v>41.90299</v>
      </c>
      <c r="K329" s="55" t="n">
        <v>0.87865</v>
      </c>
      <c r="L329" s="56" t="inlineStr">
        <is>
          <t>Fitxa ↗</t>
        </is>
      </c>
      <c r="M329" s="56" t="inlineStr">
        <is>
          <t>Mapa ↗</t>
        </is>
      </c>
      <c r="N329" s="33"/>
      <c r="O329" s="53"/>
    </row>
    <row r="330">
      <c r="A330" s="32" t="inlineStr">
        <is>
          <t>Torre de les Conclues</t>
        </is>
      </c>
      <c r="B330" s="52" t="n">
        <v>699</v>
      </c>
      <c r="C330" s="53" t="inlineStr">
        <is>
          <t>Noguera</t>
        </is>
      </c>
      <c r="D330" s="53" t="inlineStr">
        <is>
          <t>Noguera</t>
        </is>
      </c>
      <c r="E330" s="33" t="inlineStr">
        <is>
          <t>No essencial</t>
        </is>
      </c>
      <c r="F330" s="53" t="n"/>
      <c r="G330" s="33"/>
      <c r="H330" s="54"/>
      <c r="I330" s="53"/>
      <c r="J330" s="55" t="n">
        <v>42.01611</v>
      </c>
      <c r="K330" s="55" t="n">
        <v>0.65873</v>
      </c>
      <c r="L330" s="56" t="inlineStr">
        <is>
          <t>Fitxa ↗</t>
        </is>
      </c>
      <c r="M330" s="56" t="inlineStr">
        <is>
          <t>Mapa ↗</t>
        </is>
      </c>
      <c r="N330" s="33"/>
      <c r="O330" s="53"/>
    </row>
    <row r="331">
      <c r="A331" s="32" t="inlineStr">
        <is>
          <t>Puig de Grialó</t>
        </is>
      </c>
      <c r="B331" s="52" t="n">
        <v>667</v>
      </c>
      <c r="C331" s="53" t="inlineStr">
        <is>
          <t>Noguera</t>
        </is>
      </c>
      <c r="D331" s="53" t="inlineStr">
        <is>
          <t>Noguera</t>
        </is>
      </c>
      <c r="E331" s="33" t="inlineStr">
        <is>
          <t>No essencial</t>
        </is>
      </c>
      <c r="F331" s="53" t="n"/>
      <c r="G331" s="33"/>
      <c r="H331" s="54"/>
      <c r="I331" s="53"/>
      <c r="J331" s="55" t="n">
        <v>41.90175</v>
      </c>
      <c r="K331" s="55" t="n">
        <v>1.10878</v>
      </c>
      <c r="L331" s="56" t="inlineStr">
        <is>
          <t>Fitxa ↗</t>
        </is>
      </c>
      <c r="M331" s="56" t="inlineStr">
        <is>
          <t>Mapa ↗</t>
        </is>
      </c>
      <c r="N331" s="33"/>
      <c r="O331" s="53"/>
    </row>
    <row r="332">
      <c r="A332" s="32" t="inlineStr">
        <is>
          <t>Munt de Montsonís</t>
        </is>
      </c>
      <c r="B332" s="52" t="n">
        <v>591</v>
      </c>
      <c r="C332" s="53" t="inlineStr">
        <is>
          <t>Noguera</t>
        </is>
      </c>
      <c r="D332" s="53" t="inlineStr">
        <is>
          <t>Noguera</t>
        </is>
      </c>
      <c r="E332" s="33" t="inlineStr">
        <is>
          <t>No essencial</t>
        </is>
      </c>
      <c r="F332" s="53" t="n"/>
      <c r="G332" s="33"/>
      <c r="H332" s="54"/>
      <c r="I332" s="53"/>
      <c r="J332" s="55" t="n">
        <v>41.88577</v>
      </c>
      <c r="K332" s="55" t="n">
        <v>1.01405</v>
      </c>
      <c r="L332" s="56" t="inlineStr">
        <is>
          <t>Fitxa ↗</t>
        </is>
      </c>
      <c r="M332" s="56" t="inlineStr">
        <is>
          <t>Mapa ↗</t>
        </is>
      </c>
      <c r="N332" s="33"/>
      <c r="O332" s="53"/>
    </row>
    <row r="333">
      <c r="A333" s="32" t="inlineStr">
        <is>
          <t>Monteró</t>
        </is>
      </c>
      <c r="B333" s="52" t="n">
        <v>574</v>
      </c>
      <c r="C333" s="53" t="inlineStr">
        <is>
          <t>Noguera</t>
        </is>
      </c>
      <c r="D333" s="53" t="inlineStr">
        <is>
          <t>Noguera</t>
        </is>
      </c>
      <c r="E333" s="33" t="inlineStr">
        <is>
          <t>No essencial</t>
        </is>
      </c>
      <c r="F333" s="53" t="n"/>
      <c r="G333" s="33"/>
      <c r="H333" s="54"/>
      <c r="I333" s="53"/>
      <c r="J333" s="55" t="n">
        <v>41.86286</v>
      </c>
      <c r="K333" s="55" t="n">
        <v>0.853</v>
      </c>
      <c r="L333" s="56" t="inlineStr">
        <is>
          <t>Fitxa ↗</t>
        </is>
      </c>
      <c r="M333" s="56" t="inlineStr">
        <is>
          <t>Mapa ↗</t>
        </is>
      </c>
      <c r="N333" s="33"/>
      <c r="O333" s="53"/>
    </row>
    <row r="334">
      <c r="A334" s="32" t="inlineStr">
        <is>
          <t>Tossal de Mormur</t>
        </is>
      </c>
      <c r="B334" s="52" t="n">
        <v>326</v>
      </c>
      <c r="C334" s="53" t="inlineStr">
        <is>
          <t>Noguera</t>
        </is>
      </c>
      <c r="D334" s="53" t="inlineStr">
        <is>
          <t>Noguera</t>
        </is>
      </c>
      <c r="E334" s="33" t="inlineStr">
        <is>
          <t>No essencial</t>
        </is>
      </c>
      <c r="F334" s="53" t="n"/>
      <c r="G334" s="33"/>
      <c r="H334" s="54"/>
      <c r="I334" s="53"/>
      <c r="J334" s="55" t="n">
        <v>41.77994</v>
      </c>
      <c r="K334" s="55" t="n">
        <v>0.74977</v>
      </c>
      <c r="L334" s="56" t="inlineStr">
        <is>
          <t>Fitxa ↗</t>
        </is>
      </c>
      <c r="M334" s="56" t="inlineStr">
        <is>
          <t>Mapa ↗</t>
        </is>
      </c>
      <c r="N334" s="33"/>
      <c r="O334" s="53"/>
    </row>
    <row r="335">
      <c r="A335" s="32" t="inlineStr">
        <is>
          <t>Matagalls</t>
        </is>
      </c>
      <c r="B335" s="52" t="n">
        <v>1697</v>
      </c>
      <c r="C335" s="53" t="inlineStr">
        <is>
          <t>Osona</t>
        </is>
      </c>
      <c r="D335" s="53" t="inlineStr">
        <is>
          <t>Osona, Vallès Oriental</t>
        </is>
      </c>
      <c r="E335" s="33" t="inlineStr">
        <is>
          <t>Essencial</t>
        </is>
      </c>
      <c r="F335" s="53" t="inlineStr">
        <is>
          <t>Osona</t>
        </is>
      </c>
      <c r="G335" s="33"/>
      <c r="H335" s="54"/>
      <c r="I335" s="53"/>
      <c r="J335" s="55" t="n">
        <v>41.80882</v>
      </c>
      <c r="K335" s="55" t="n">
        <v>2.38262</v>
      </c>
      <c r="L335" s="56" t="inlineStr">
        <is>
          <t>Fitxa ↗</t>
        </is>
      </c>
      <c r="M335" s="56" t="inlineStr">
        <is>
          <t>Mapa ↗</t>
        </is>
      </c>
      <c r="N335" s="33"/>
      <c r="O335" s="53"/>
    </row>
    <row r="336">
      <c r="A336" s="32" t="inlineStr">
        <is>
          <t>Santa Magdalena de Cambrils</t>
        </is>
      </c>
      <c r="B336" s="52" t="n">
        <v>1547</v>
      </c>
      <c r="C336" s="53" t="inlineStr">
        <is>
          <t>Osona</t>
        </is>
      </c>
      <c r="D336" s="53" t="inlineStr">
        <is>
          <t>Osona, Ripollès</t>
        </is>
      </c>
      <c r="E336" s="33" t="inlineStr">
        <is>
          <t>No essencial</t>
        </is>
      </c>
      <c r="F336" s="53" t="n"/>
      <c r="G336" s="33"/>
      <c r="H336" s="54"/>
      <c r="I336" s="53"/>
      <c r="J336" s="55" t="n">
        <v>42.16899</v>
      </c>
      <c r="K336" s="55" t="n">
        <v>2.34027</v>
      </c>
      <c r="L336" s="56" t="inlineStr">
        <is>
          <t>Fitxa ↗</t>
        </is>
      </c>
      <c r="M336" s="56" t="inlineStr">
        <is>
          <t>Mapa ↗</t>
        </is>
      </c>
      <c r="N336" s="33"/>
      <c r="O336" s="53"/>
    </row>
    <row r="337">
      <c r="A337" s="32" t="inlineStr">
        <is>
          <t>Castell de Milany</t>
        </is>
      </c>
      <c r="B337" s="52" t="n">
        <v>1529</v>
      </c>
      <c r="C337" s="53" t="inlineStr">
        <is>
          <t>Osona</t>
        </is>
      </c>
      <c r="D337" s="53" t="inlineStr">
        <is>
          <t>Osona, Ripollès</t>
        </is>
      </c>
      <c r="E337" s="33" t="inlineStr">
        <is>
          <t>Essencial</t>
        </is>
      </c>
      <c r="F337" s="53" t="n"/>
      <c r="G337" s="33"/>
      <c r="H337" s="54"/>
      <c r="I337" s="53"/>
      <c r="J337" s="55" t="n">
        <v>42.16555</v>
      </c>
      <c r="K337" s="55" t="n">
        <v>2.2896</v>
      </c>
      <c r="L337" s="56" t="inlineStr">
        <is>
          <t>Fitxa ↗</t>
        </is>
      </c>
      <c r="M337" s="56" t="inlineStr">
        <is>
          <t>Mapa ↗</t>
        </is>
      </c>
      <c r="N337" s="33"/>
      <c r="O337" s="53"/>
    </row>
    <row r="338">
      <c r="A338" s="32" t="inlineStr">
        <is>
          <t>Puig de les Àligues</t>
        </is>
      </c>
      <c r="B338" s="52" t="n">
        <v>1344</v>
      </c>
      <c r="C338" s="53" t="inlineStr">
        <is>
          <t>Osona</t>
        </is>
      </c>
      <c r="D338" s="53" t="inlineStr">
        <is>
          <t>Osona</t>
        </is>
      </c>
      <c r="E338" s="33" t="inlineStr">
        <is>
          <t>No essencial</t>
        </is>
      </c>
      <c r="F338" s="53" t="n"/>
      <c r="G338" s="33"/>
      <c r="H338" s="54"/>
      <c r="I338" s="53"/>
      <c r="J338" s="55" t="n">
        <v>42.10902</v>
      </c>
      <c r="K338" s="55" t="n">
        <v>2.34932</v>
      </c>
      <c r="L338" s="56" t="inlineStr">
        <is>
          <t>Fitxa ↗</t>
        </is>
      </c>
      <c r="M338" s="56" t="inlineStr">
        <is>
          <t>Mapa ↗</t>
        </is>
      </c>
      <c r="N338" s="33"/>
      <c r="O338" s="53"/>
    </row>
    <row r="339">
      <c r="A339" s="32" t="inlineStr">
        <is>
          <t>Turó del Pou d’en Sala</t>
        </is>
      </c>
      <c r="B339" s="52" t="n">
        <v>1265</v>
      </c>
      <c r="C339" s="53" t="inlineStr">
        <is>
          <t>Osona</t>
        </is>
      </c>
      <c r="D339" s="53" t="inlineStr">
        <is>
          <t>Osona</t>
        </is>
      </c>
      <c r="E339" s="33" t="inlineStr">
        <is>
          <t>No essencial</t>
        </is>
      </c>
      <c r="F339" s="53" t="n"/>
      <c r="G339" s="33"/>
      <c r="H339" s="54"/>
      <c r="I339" s="53"/>
      <c r="J339" s="55" t="n">
        <v>41.83259</v>
      </c>
      <c r="K339" s="55" t="n">
        <v>2.34741</v>
      </c>
      <c r="L339" s="56" t="inlineStr">
        <is>
          <t>Fitxa ↗</t>
        </is>
      </c>
      <c r="M339" s="56" t="inlineStr">
        <is>
          <t>Mapa ↗</t>
        </is>
      </c>
      <c r="N339" s="33"/>
      <c r="O339" s="53"/>
    </row>
    <row r="340">
      <c r="A340" s="32" t="inlineStr">
        <is>
          <t>Bellmunt</t>
        </is>
      </c>
      <c r="B340" s="52" t="n">
        <v>1248</v>
      </c>
      <c r="C340" s="53" t="inlineStr">
        <is>
          <t>Osona</t>
        </is>
      </c>
      <c r="D340" s="53" t="inlineStr">
        <is>
          <t>Osona</t>
        </is>
      </c>
      <c r="E340" s="33" t="inlineStr">
        <is>
          <t>Essencial</t>
        </is>
      </c>
      <c r="F340" s="53" t="n"/>
      <c r="G340" s="33"/>
      <c r="H340" s="54"/>
      <c r="I340" s="53"/>
      <c r="J340" s="55" t="n">
        <v>42.10154</v>
      </c>
      <c r="K340" s="55" t="n">
        <v>2.29375</v>
      </c>
      <c r="L340" s="56" t="inlineStr">
        <is>
          <t>Fitxa ↗</t>
        </is>
      </c>
      <c r="M340" s="56" t="inlineStr">
        <is>
          <t>Mapa ↗</t>
        </is>
      </c>
      <c r="N340" s="33"/>
      <c r="O340" s="53"/>
    </row>
    <row r="341">
      <c r="A341" s="32" t="inlineStr">
        <is>
          <t>Rocallarga</t>
        </is>
      </c>
      <c r="B341" s="52" t="n">
        <v>1187</v>
      </c>
      <c r="C341" s="53" t="inlineStr">
        <is>
          <t>Osona</t>
        </is>
      </c>
      <c r="D341" s="53" t="inlineStr">
        <is>
          <t>Osona</t>
        </is>
      </c>
      <c r="E341" s="33" t="inlineStr">
        <is>
          <t>Essencial</t>
        </is>
      </c>
      <c r="F341" s="53" t="n"/>
      <c r="G341" s="33"/>
      <c r="H341" s="54"/>
      <c r="I341" s="53"/>
      <c r="J341" s="55" t="n">
        <v>42.00981</v>
      </c>
      <c r="K341" s="55" t="n">
        <v>2.4456</v>
      </c>
      <c r="L341" s="56" t="inlineStr">
        <is>
          <t>Fitxa ↗</t>
        </is>
      </c>
      <c r="M341" s="56" t="inlineStr">
        <is>
          <t>Mapa ↗</t>
        </is>
      </c>
      <c r="N341" s="33"/>
      <c r="O341" s="53"/>
    </row>
    <row r="342">
      <c r="A342" s="32" t="inlineStr">
        <is>
          <t>Els Munts</t>
        </is>
      </c>
      <c r="B342" s="52" t="n">
        <v>1057</v>
      </c>
      <c r="C342" s="53" t="inlineStr">
        <is>
          <t>Osona</t>
        </is>
      </c>
      <c r="D342" s="53" t="inlineStr">
        <is>
          <t>Osona</t>
        </is>
      </c>
      <c r="E342" s="33" t="inlineStr">
        <is>
          <t>No essencial</t>
        </is>
      </c>
      <c r="F342" s="53" t="n"/>
      <c r="G342" s="33"/>
      <c r="H342" s="54"/>
      <c r="I342" s="53"/>
      <c r="J342" s="55" t="n">
        <v>42.07873</v>
      </c>
      <c r="K342" s="55" t="n">
        <v>2.15328</v>
      </c>
      <c r="L342" s="56" t="inlineStr">
        <is>
          <t>Fitxa ↗</t>
        </is>
      </c>
      <c r="M342" s="56" t="inlineStr">
        <is>
          <t>Mapa ↗</t>
        </is>
      </c>
      <c r="N342" s="33"/>
      <c r="O342" s="53"/>
    </row>
    <row r="343">
      <c r="A343" s="32" t="inlineStr">
        <is>
          <t>Castell de Besora</t>
        </is>
      </c>
      <c r="B343" s="52" t="n">
        <v>1030</v>
      </c>
      <c r="C343" s="53" t="inlineStr">
        <is>
          <t>Osona</t>
        </is>
      </c>
      <c r="D343" s="53" t="inlineStr">
        <is>
          <t>Osona</t>
        </is>
      </c>
      <c r="E343" s="33" t="inlineStr">
        <is>
          <t>No essencial</t>
        </is>
      </c>
      <c r="F343" s="53" t="n"/>
      <c r="G343" s="33"/>
      <c r="H343" s="54"/>
      <c r="I343" s="53"/>
      <c r="J343" s="55" t="n">
        <v>42.12394</v>
      </c>
      <c r="K343" s="55" t="n">
        <v>2.25112</v>
      </c>
      <c r="L343" s="56" t="inlineStr">
        <is>
          <t>Fitxa ↗</t>
        </is>
      </c>
      <c r="M343" s="56" t="inlineStr">
        <is>
          <t>Mapa ↗</t>
        </is>
      </c>
      <c r="N343" s="33"/>
      <c r="O343" s="53"/>
    </row>
    <row r="344">
      <c r="A344" s="32" t="inlineStr">
        <is>
          <t>L’Enclusa</t>
        </is>
      </c>
      <c r="B344" s="52" t="n">
        <v>867</v>
      </c>
      <c r="C344" s="53" t="inlineStr">
        <is>
          <t>Osona</t>
        </is>
      </c>
      <c r="D344" s="53" t="inlineStr">
        <is>
          <t>Osona</t>
        </is>
      </c>
      <c r="E344" s="33" t="inlineStr">
        <is>
          <t>No essencial</t>
        </is>
      </c>
      <c r="F344" s="53" t="n"/>
      <c r="G344" s="33"/>
      <c r="H344" s="54"/>
      <c r="I344" s="53"/>
      <c r="J344" s="55" t="n">
        <v>41.87079</v>
      </c>
      <c r="K344" s="55" t="n">
        <v>2.32094</v>
      </c>
      <c r="L344" s="56" t="inlineStr">
        <is>
          <t>Fitxa ↗</t>
        </is>
      </c>
      <c r="M344" s="56" t="inlineStr">
        <is>
          <t>Mapa ↗</t>
        </is>
      </c>
      <c r="N344" s="33"/>
      <c r="O344" s="53"/>
    </row>
    <row r="345">
      <c r="A345" s="32" t="inlineStr">
        <is>
          <t>Sant Martí Xic (Castell de Voltregà)</t>
        </is>
      </c>
      <c r="B345" s="52" t="n">
        <v>859</v>
      </c>
      <c r="C345" s="53" t="inlineStr">
        <is>
          <t>Osona</t>
        </is>
      </c>
      <c r="D345" s="53" t="inlineStr">
        <is>
          <t>Osona</t>
        </is>
      </c>
      <c r="E345" s="33" t="inlineStr">
        <is>
          <t>No essencial</t>
        </is>
      </c>
      <c r="F345" s="53" t="n"/>
      <c r="G345" s="33"/>
      <c r="H345" s="54"/>
      <c r="I345" s="53"/>
      <c r="J345" s="55" t="n">
        <v>42.01025</v>
      </c>
      <c r="K345" s="55" t="n">
        <v>2.20643</v>
      </c>
      <c r="L345" s="56" t="inlineStr">
        <is>
          <t>Fitxa ↗</t>
        </is>
      </c>
      <c r="M345" s="56" t="inlineStr">
        <is>
          <t>Mapa ↗</t>
        </is>
      </c>
      <c r="N345" s="33"/>
      <c r="O345" s="53"/>
    </row>
    <row r="346">
      <c r="A346" s="32" t="inlineStr">
        <is>
          <t>Creu de Gurb</t>
        </is>
      </c>
      <c r="B346" s="52" t="n">
        <v>842</v>
      </c>
      <c r="C346" s="53" t="inlineStr">
        <is>
          <t>Osona</t>
        </is>
      </c>
      <c r="D346" s="53" t="inlineStr">
        <is>
          <t>Osona</t>
        </is>
      </c>
      <c r="E346" s="33" t="inlineStr">
        <is>
          <t>Essencial</t>
        </is>
      </c>
      <c r="F346" s="53" t="n"/>
      <c r="G346" s="33"/>
      <c r="H346" s="54"/>
      <c r="I346" s="53"/>
      <c r="J346" s="55" t="n">
        <v>41.95209</v>
      </c>
      <c r="K346" s="55" t="n">
        <v>2.21046</v>
      </c>
      <c r="L346" s="56" t="inlineStr">
        <is>
          <t>Fitxa ↗</t>
        </is>
      </c>
      <c r="M346" s="56" t="inlineStr">
        <is>
          <t>Mapa ↗</t>
        </is>
      </c>
      <c r="N346" s="33"/>
      <c r="O346" s="53"/>
    </row>
    <row r="347">
      <c r="A347" s="32" t="inlineStr">
        <is>
          <t>Puig del Far</t>
        </is>
      </c>
      <c r="B347" s="52" t="n">
        <v>832</v>
      </c>
      <c r="C347" s="53" t="inlineStr">
        <is>
          <t>Osona</t>
        </is>
      </c>
      <c r="D347" s="53" t="inlineStr">
        <is>
          <t>Osona</t>
        </is>
      </c>
      <c r="E347" s="33" t="inlineStr">
        <is>
          <t>No essencial</t>
        </is>
      </c>
      <c r="F347" s="53" t="n"/>
      <c r="G347" s="33"/>
      <c r="H347" s="54"/>
      <c r="I347" s="53"/>
      <c r="J347" s="55" t="n">
        <v>41.95963</v>
      </c>
      <c r="K347" s="55" t="n">
        <v>2.37616</v>
      </c>
      <c r="L347" s="56" t="inlineStr">
        <is>
          <t>Fitxa ↗</t>
        </is>
      </c>
      <c r="M347" s="56" t="inlineStr">
        <is>
          <t>Mapa ↗</t>
        </is>
      </c>
      <c r="N347" s="33"/>
      <c r="O347" s="53"/>
    </row>
    <row r="348">
      <c r="A348" s="32" t="inlineStr">
        <is>
          <t>Serrat Alt</t>
        </is>
      </c>
      <c r="B348" s="52" t="n">
        <v>830</v>
      </c>
      <c r="C348" s="53" t="inlineStr">
        <is>
          <t>Osona</t>
        </is>
      </c>
      <c r="D348" s="53" t="inlineStr">
        <is>
          <t>Osona</t>
        </is>
      </c>
      <c r="E348" s="33" t="inlineStr">
        <is>
          <t>No essencial</t>
        </is>
      </c>
      <c r="F348" s="53" t="n"/>
      <c r="G348" s="33"/>
      <c r="H348" s="54"/>
      <c r="I348" s="53"/>
      <c r="J348" s="55" t="n">
        <v>42.0804</v>
      </c>
      <c r="K348" s="55" t="n">
        <v>2.25954</v>
      </c>
      <c r="L348" s="56" t="inlineStr">
        <is>
          <t>Fitxa ↗</t>
        </is>
      </c>
      <c r="M348" s="56" t="inlineStr">
        <is>
          <t>Mapa ↗</t>
        </is>
      </c>
      <c r="N348" s="33"/>
      <c r="O348" s="53"/>
    </row>
    <row r="349">
      <c r="A349" s="32" t="inlineStr">
        <is>
          <t>Puig de la Força</t>
        </is>
      </c>
      <c r="B349" s="52" t="n">
        <v>740</v>
      </c>
      <c r="C349" s="53" t="inlineStr">
        <is>
          <t>Osona</t>
        </is>
      </c>
      <c r="D349" s="53" t="inlineStr">
        <is>
          <t>Osona</t>
        </is>
      </c>
      <c r="E349" s="33" t="inlineStr">
        <is>
          <t>No essencial</t>
        </is>
      </c>
      <c r="F349" s="53" t="n"/>
      <c r="G349" s="33"/>
      <c r="H349" s="54"/>
      <c r="I349" s="53"/>
      <c r="J349" s="55" t="n">
        <v>41.98101</v>
      </c>
      <c r="K349" s="55" t="n">
        <v>2.38898</v>
      </c>
      <c r="L349" s="56" t="inlineStr">
        <is>
          <t>Fitxa ↗</t>
        </is>
      </c>
      <c r="M349" s="56" t="inlineStr">
        <is>
          <t>Mapa ↗</t>
        </is>
      </c>
      <c r="N349" s="33"/>
      <c r="O349" s="53"/>
    </row>
    <row r="350">
      <c r="A350" s="32" t="inlineStr">
        <is>
          <t>Pic de Peguera</t>
        </is>
      </c>
      <c r="B350" s="52" t="n">
        <v>2983</v>
      </c>
      <c r="C350" s="53" t="inlineStr">
        <is>
          <t>Pallars Jussà</t>
        </is>
      </c>
      <c r="D350" s="53" t="inlineStr">
        <is>
          <t>Pallars Jussà, Pallars Sobirà</t>
        </is>
      </c>
      <c r="E350" s="33" t="inlineStr">
        <is>
          <t>Essencial</t>
        </is>
      </c>
      <c r="F350" s="53" t="inlineStr">
        <is>
          <t>Pallars Jussà</t>
        </is>
      </c>
      <c r="G350" s="33"/>
      <c r="H350" s="54"/>
      <c r="I350" s="53"/>
      <c r="J350" s="55" t="n">
        <v>42.54054</v>
      </c>
      <c r="K350" s="55" t="n">
        <v>1.01196</v>
      </c>
      <c r="L350" s="56" t="inlineStr">
        <is>
          <t>Fitxa ↗</t>
        </is>
      </c>
      <c r="M350" s="56" t="inlineStr">
        <is>
          <t>Mapa ↗</t>
        </is>
      </c>
      <c r="N350" s="33"/>
      <c r="O350" s="53"/>
    </row>
    <row r="351">
      <c r="A351" s="32" t="inlineStr">
        <is>
          <t>Pic de Subenuix</t>
        </is>
      </c>
      <c r="B351" s="52" t="n">
        <v>2950</v>
      </c>
      <c r="C351" s="53" t="inlineStr">
        <is>
          <t>Pallars Jussà</t>
        </is>
      </c>
      <c r="D351" s="53" t="inlineStr">
        <is>
          <t>Pallars Jussà, Pallars Sobirà</t>
        </is>
      </c>
      <c r="E351" s="33" t="inlineStr">
        <is>
          <t>No essencial</t>
        </is>
      </c>
      <c r="F351" s="53" t="n"/>
      <c r="G351" s="33"/>
      <c r="H351" s="54"/>
      <c r="I351" s="53"/>
      <c r="J351" s="55" t="n">
        <v>42.55495</v>
      </c>
      <c r="K351" s="55" t="n">
        <v>0.97938</v>
      </c>
      <c r="L351" s="56" t="inlineStr">
        <is>
          <t>Fitxa ↗</t>
        </is>
      </c>
      <c r="M351" s="56" t="inlineStr">
        <is>
          <t>Mapa ↗</t>
        </is>
      </c>
      <c r="N351" s="33"/>
      <c r="O351" s="53"/>
    </row>
    <row r="352">
      <c r="A352" s="32" t="inlineStr">
        <is>
          <t>Pic de la Mainera</t>
        </is>
      </c>
      <c r="B352" s="52" t="n">
        <v>2909</v>
      </c>
      <c r="C352" s="53" t="inlineStr">
        <is>
          <t>Pallars Jussà</t>
        </is>
      </c>
      <c r="D352" s="53" t="inlineStr">
        <is>
          <t>Pallars Jussà, Pallars Sobirà</t>
        </is>
      </c>
      <c r="E352" s="33" t="inlineStr">
        <is>
          <t>No essencial</t>
        </is>
      </c>
      <c r="F352" s="53" t="n"/>
      <c r="G352" s="33"/>
      <c r="H352" s="54"/>
      <c r="I352" s="53"/>
      <c r="J352" s="55" t="n">
        <v>42.52448</v>
      </c>
      <c r="K352" s="55" t="n">
        <v>1.02716</v>
      </c>
      <c r="L352" s="56" t="inlineStr">
        <is>
          <t>Fitxa ↗</t>
        </is>
      </c>
      <c r="M352" s="56" t="inlineStr">
        <is>
          <t>Mapa ↗</t>
        </is>
      </c>
      <c r="N352" s="33"/>
      <c r="O352" s="53"/>
    </row>
    <row r="353">
      <c r="A353" s="32" t="inlineStr">
        <is>
          <t>Pic Tort</t>
        </is>
      </c>
      <c r="B353" s="52" t="n">
        <v>2886</v>
      </c>
      <c r="C353" s="53" t="inlineStr">
        <is>
          <t>Pallars Jussà</t>
        </is>
      </c>
      <c r="D353" s="53" t="inlineStr">
        <is>
          <t>Pallars Jussà</t>
        </is>
      </c>
      <c r="E353" s="33" t="inlineStr">
        <is>
          <t>No essencial</t>
        </is>
      </c>
      <c r="F353" s="53" t="n"/>
      <c r="G353" s="33"/>
      <c r="H353" s="54"/>
      <c r="I353" s="53"/>
      <c r="J353" s="55" t="n">
        <v>42.53375</v>
      </c>
      <c r="K353" s="55" t="n">
        <v>0.98883</v>
      </c>
      <c r="L353" s="56" t="inlineStr">
        <is>
          <t>Fitxa ↗</t>
        </is>
      </c>
      <c r="M353" s="56" t="inlineStr">
        <is>
          <t>Mapa ↗</t>
        </is>
      </c>
      <c r="N353" s="33"/>
      <c r="O353" s="53"/>
    </row>
    <row r="354">
      <c r="A354" s="32" t="inlineStr">
        <is>
          <t>Montsent de Pallars</t>
        </is>
      </c>
      <c r="B354" s="52" t="n">
        <v>2883</v>
      </c>
      <c r="C354" s="53" t="inlineStr">
        <is>
          <t>Pallars Jussà</t>
        </is>
      </c>
      <c r="D354" s="53" t="inlineStr">
        <is>
          <t>Pallars Jussà, Pallars Sobirà</t>
        </is>
      </c>
      <c r="E354" s="33" t="inlineStr">
        <is>
          <t>Essencial</t>
        </is>
      </c>
      <c r="F354" s="53" t="n"/>
      <c r="G354" s="33"/>
      <c r="H354" s="54"/>
      <c r="I354" s="53"/>
      <c r="J354" s="55" t="n">
        <v>42.49011</v>
      </c>
      <c r="K354" s="55" t="n">
        <v>1.02442</v>
      </c>
      <c r="L354" s="56" t="inlineStr">
        <is>
          <t>Fitxa ↗</t>
        </is>
      </c>
      <c r="M354" s="56" t="inlineStr">
        <is>
          <t>Mapa ↗</t>
        </is>
      </c>
      <c r="N354" s="33"/>
      <c r="O354" s="53"/>
    </row>
    <row r="355">
      <c r="A355" s="32" t="inlineStr">
        <is>
          <t>Pic de Filià (Tossal de Paiasso)</t>
        </is>
      </c>
      <c r="B355" s="52" t="n">
        <v>2772</v>
      </c>
      <c r="C355" s="53" t="inlineStr">
        <is>
          <t>Pallars Jussà</t>
        </is>
      </c>
      <c r="D355" s="53" t="inlineStr">
        <is>
          <t>Pallars Jussà</t>
        </is>
      </c>
      <c r="E355" s="33" t="inlineStr">
        <is>
          <t>No essencial</t>
        </is>
      </c>
      <c r="F355" s="53" t="n"/>
      <c r="G355" s="33"/>
      <c r="H355" s="54"/>
      <c r="I355" s="53"/>
      <c r="J355" s="55" t="n">
        <v>42.47294</v>
      </c>
      <c r="K355" s="55" t="n">
        <v>0.93032</v>
      </c>
      <c r="L355" s="56" t="inlineStr">
        <is>
          <t>Fitxa ↗</t>
        </is>
      </c>
      <c r="M355" s="56" t="inlineStr">
        <is>
          <t>Mapa ↗</t>
        </is>
      </c>
      <c r="N355" s="33"/>
      <c r="O355" s="53"/>
    </row>
    <row r="356">
      <c r="A356" s="32" t="inlineStr">
        <is>
          <t>Pica de Cerví</t>
        </is>
      </c>
      <c r="B356" s="52" t="n">
        <v>2753</v>
      </c>
      <c r="C356" s="53" t="inlineStr">
        <is>
          <t>Pallars Jussà</t>
        </is>
      </c>
      <c r="D356" s="53" t="inlineStr">
        <is>
          <t>Pallars Jussà</t>
        </is>
      </c>
      <c r="E356" s="33" t="inlineStr">
        <is>
          <t>Essencial</t>
        </is>
      </c>
      <c r="F356" s="53" t="n"/>
      <c r="G356" s="33"/>
      <c r="H356" s="54"/>
      <c r="I356" s="53"/>
      <c r="J356" s="55" t="n">
        <v>42.45294</v>
      </c>
      <c r="K356" s="55" t="n">
        <v>0.87923</v>
      </c>
      <c r="L356" s="56" t="inlineStr">
        <is>
          <t>Fitxa ↗</t>
        </is>
      </c>
      <c r="M356" s="56" t="inlineStr">
        <is>
          <t>Mapa ↗</t>
        </is>
      </c>
      <c r="N356" s="33"/>
      <c r="O356" s="53"/>
    </row>
    <row r="357">
      <c r="A357" s="32" t="inlineStr">
        <is>
          <t>Pic de Llena</t>
        </is>
      </c>
      <c r="B357" s="52" t="n">
        <v>2686</v>
      </c>
      <c r="C357" s="53" t="inlineStr">
        <is>
          <t>Pallars Jussà</t>
        </is>
      </c>
      <c r="D357" s="53" t="inlineStr">
        <is>
          <t>Pallars Jussà</t>
        </is>
      </c>
      <c r="E357" s="33" t="inlineStr">
        <is>
          <t>No essencial</t>
        </is>
      </c>
      <c r="F357" s="53" t="n"/>
      <c r="G357" s="33"/>
      <c r="H357" s="54"/>
      <c r="I357" s="53"/>
      <c r="J357" s="55" t="n">
        <v>42.44689</v>
      </c>
      <c r="K357" s="55" t="n">
        <v>0.91792</v>
      </c>
      <c r="L357" s="56" t="inlineStr">
        <is>
          <t>Fitxa ↗</t>
        </is>
      </c>
      <c r="M357" s="56" t="inlineStr">
        <is>
          <t>Mapa ↗</t>
        </is>
      </c>
      <c r="N357" s="33"/>
      <c r="O357" s="53"/>
    </row>
    <row r="358">
      <c r="A358" s="32" t="inlineStr">
        <is>
          <t>Pic de l’Espada</t>
        </is>
      </c>
      <c r="B358" s="52" t="n">
        <v>2549</v>
      </c>
      <c r="C358" s="53" t="inlineStr">
        <is>
          <t>Pallars Jussà</t>
        </is>
      </c>
      <c r="D358" s="53" t="inlineStr">
        <is>
          <t>Pallars Jussà</t>
        </is>
      </c>
      <c r="E358" s="33" t="inlineStr">
        <is>
          <t>No essencial</t>
        </is>
      </c>
      <c r="F358" s="53" t="n"/>
      <c r="G358" s="33"/>
      <c r="H358" s="54"/>
      <c r="I358" s="53"/>
      <c r="J358" s="55" t="n">
        <v>42.49918</v>
      </c>
      <c r="K358" s="55" t="n">
        <v>0.97188</v>
      </c>
      <c r="L358" s="56" t="inlineStr">
        <is>
          <t>Fitxa ↗</t>
        </is>
      </c>
      <c r="M358" s="56" t="inlineStr">
        <is>
          <t>Mapa ↗</t>
        </is>
      </c>
      <c r="N358" s="33"/>
      <c r="O358" s="53"/>
    </row>
    <row r="359">
      <c r="A359" s="32" t="inlineStr">
        <is>
          <t>Tuc de la Cometa</t>
        </is>
      </c>
      <c r="B359" s="52" t="n">
        <v>2445</v>
      </c>
      <c r="C359" s="53" t="inlineStr">
        <is>
          <t>Pallars Jussà</t>
        </is>
      </c>
      <c r="D359" s="53" t="inlineStr">
        <is>
          <t>Pallars Jussà, Pallars Sobirà</t>
        </is>
      </c>
      <c r="E359" s="33" t="inlineStr">
        <is>
          <t>Essencial</t>
        </is>
      </c>
      <c r="F359" s="53" t="n"/>
      <c r="G359" s="33"/>
      <c r="H359" s="54"/>
      <c r="I359" s="53"/>
      <c r="J359" s="55" t="n">
        <v>42.4237</v>
      </c>
      <c r="K359" s="55" t="n">
        <v>1.03305</v>
      </c>
      <c r="L359" s="56" t="inlineStr">
        <is>
          <t>Fitxa ↗</t>
        </is>
      </c>
      <c r="M359" s="56" t="inlineStr">
        <is>
          <t>Mapa ↗</t>
        </is>
      </c>
      <c r="N359" s="33"/>
      <c r="O359" s="53"/>
    </row>
    <row r="360">
      <c r="A360" s="32" t="inlineStr">
        <is>
          <t>Cap de Boumort</t>
        </is>
      </c>
      <c r="B360" s="52" t="n">
        <v>2077</v>
      </c>
      <c r="C360" s="53" t="inlineStr">
        <is>
          <t>Pallars Jussà</t>
        </is>
      </c>
      <c r="D360" s="53" t="inlineStr">
        <is>
          <t>Pallars Jussà</t>
        </is>
      </c>
      <c r="E360" s="33" t="inlineStr">
        <is>
          <t>Essencial</t>
        </is>
      </c>
      <c r="F360" s="53" t="n"/>
      <c r="G360" s="33"/>
      <c r="H360" s="54"/>
      <c r="I360" s="53"/>
      <c r="J360" s="55" t="n">
        <v>42.23501</v>
      </c>
      <c r="K360" s="55" t="n">
        <v>1.13468</v>
      </c>
      <c r="L360" s="56" t="inlineStr">
        <is>
          <t>Fitxa ↗</t>
        </is>
      </c>
      <c r="M360" s="56" t="inlineStr">
        <is>
          <t>Mapa ↗</t>
        </is>
      </c>
      <c r="N360" s="33"/>
      <c r="O360" s="53"/>
    </row>
    <row r="361">
      <c r="A361" s="32" t="inlineStr">
        <is>
          <t>Cap de Carreu</t>
        </is>
      </c>
      <c r="B361" s="52" t="n">
        <v>1749</v>
      </c>
      <c r="C361" s="53" t="inlineStr">
        <is>
          <t>Pallars Jussà</t>
        </is>
      </c>
      <c r="D361" s="53" t="inlineStr">
        <is>
          <t>Pallars Jussà</t>
        </is>
      </c>
      <c r="E361" s="33" t="inlineStr">
        <is>
          <t>No essencial</t>
        </is>
      </c>
      <c r="F361" s="53" t="n"/>
      <c r="G361" s="33"/>
      <c r="H361" s="54"/>
      <c r="I361" s="53"/>
      <c r="J361" s="55" t="n">
        <v>42.19357</v>
      </c>
      <c r="K361" s="55" t="n">
        <v>1.12359</v>
      </c>
      <c r="L361" s="56" t="inlineStr">
        <is>
          <t>Fitxa ↗</t>
        </is>
      </c>
      <c r="M361" s="56" t="inlineStr">
        <is>
          <t>Mapa ↗</t>
        </is>
      </c>
      <c r="N361" s="33"/>
      <c r="O361" s="53"/>
    </row>
    <row r="362">
      <c r="A362" s="32" t="inlineStr">
        <is>
          <t>Pui de Lleràs</t>
        </is>
      </c>
      <c r="B362" s="52" t="n">
        <v>1692</v>
      </c>
      <c r="C362" s="53" t="inlineStr">
        <is>
          <t>Pallars Jussà</t>
        </is>
      </c>
      <c r="D362" s="53" t="inlineStr">
        <is>
          <t>Pallars Jussà</t>
        </is>
      </c>
      <c r="E362" s="33" t="inlineStr">
        <is>
          <t>Essencial</t>
        </is>
      </c>
      <c r="F362" s="53" t="n"/>
      <c r="G362" s="33"/>
      <c r="H362" s="54"/>
      <c r="I362" s="53"/>
      <c r="J362" s="55" t="n">
        <v>42.2692</v>
      </c>
      <c r="K362" s="55" t="n">
        <v>0.85265</v>
      </c>
      <c r="L362" s="56" t="inlineStr">
        <is>
          <t>Fitxa ↗</t>
        </is>
      </c>
      <c r="M362" s="56" t="inlineStr">
        <is>
          <t>Mapa ↗</t>
        </is>
      </c>
      <c r="N362" s="33"/>
      <c r="O362" s="53"/>
    </row>
    <row r="363">
      <c r="A363" s="32" t="inlineStr">
        <is>
          <t>Gallinova</t>
        </is>
      </c>
      <c r="B363" s="52" t="n">
        <v>1687</v>
      </c>
      <c r="C363" s="53" t="inlineStr">
        <is>
          <t>Pallars Jussà</t>
        </is>
      </c>
      <c r="D363" s="53" t="inlineStr">
        <is>
          <t>Pallars Jussà</t>
        </is>
      </c>
      <c r="E363" s="33" t="inlineStr">
        <is>
          <t>No essencial</t>
        </is>
      </c>
      <c r="F363" s="53" t="n"/>
      <c r="G363" s="33"/>
      <c r="H363" s="54"/>
      <c r="I363" s="53"/>
      <c r="J363" s="55" t="n">
        <v>42.18472</v>
      </c>
      <c r="K363" s="55" t="n">
        <v>1.07809</v>
      </c>
      <c r="L363" s="56" t="inlineStr">
        <is>
          <t>Fitxa ↗</t>
        </is>
      </c>
      <c r="M363" s="56" t="inlineStr">
        <is>
          <t>Mapa ↗</t>
        </is>
      </c>
      <c r="N363" s="33"/>
      <c r="O363" s="53"/>
    </row>
    <row r="364">
      <c r="A364" s="32" t="inlineStr">
        <is>
          <t>Santa Bàrbara (Vall Fosca)</t>
        </is>
      </c>
      <c r="B364" s="52" t="n">
        <v>1613</v>
      </c>
      <c r="C364" s="53" t="inlineStr">
        <is>
          <t>Pallars Jussà</t>
        </is>
      </c>
      <c r="D364" s="53" t="inlineStr">
        <is>
          <t>Pallars Jussà</t>
        </is>
      </c>
      <c r="E364" s="33" t="inlineStr">
        <is>
          <t>No essencial</t>
        </is>
      </c>
      <c r="F364" s="53" t="n"/>
      <c r="G364" s="33"/>
      <c r="H364" s="54"/>
      <c r="I364" s="53"/>
      <c r="J364" s="55" t="n">
        <v>42.3808</v>
      </c>
      <c r="K364" s="55" t="n">
        <v>0.92342</v>
      </c>
      <c r="L364" s="56" t="inlineStr">
        <is>
          <t>Fitxa ↗</t>
        </is>
      </c>
      <c r="M364" s="56" t="inlineStr">
        <is>
          <t>Mapa ↗</t>
        </is>
      </c>
      <c r="N364" s="33"/>
      <c r="O364" s="53"/>
    </row>
    <row r="365">
      <c r="A365" s="32" t="inlineStr">
        <is>
          <t>Rocalta</t>
        </is>
      </c>
      <c r="B365" s="52" t="n">
        <v>1489</v>
      </c>
      <c r="C365" s="53" t="inlineStr">
        <is>
          <t>Pallars Jussà</t>
        </is>
      </c>
      <c r="D365" s="53" t="inlineStr">
        <is>
          <t>Pallars Jussà</t>
        </is>
      </c>
      <c r="E365" s="33" t="inlineStr">
        <is>
          <t>No essencial</t>
        </is>
      </c>
      <c r="F365" s="53" t="n"/>
      <c r="G365" s="33"/>
      <c r="H365" s="54"/>
      <c r="I365" s="53"/>
      <c r="J365" s="55" t="n">
        <v>42.21158</v>
      </c>
      <c r="K365" s="55" t="n">
        <v>1.04451</v>
      </c>
      <c r="L365" s="56" t="inlineStr">
        <is>
          <t>Fitxa ↗</t>
        </is>
      </c>
      <c r="M365" s="56" t="inlineStr">
        <is>
          <t>Mapa ↗</t>
        </is>
      </c>
      <c r="N365" s="33"/>
      <c r="O365" s="53"/>
    </row>
    <row r="366">
      <c r="A366" s="32" t="inlineStr">
        <is>
          <t>Roc de Sant Aventí</t>
        </is>
      </c>
      <c r="B366" s="52" t="n">
        <v>1480</v>
      </c>
      <c r="C366" s="53" t="inlineStr">
        <is>
          <t>Pallars Jussà</t>
        </is>
      </c>
      <c r="D366" s="53" t="inlineStr">
        <is>
          <t>Pallars Jussà, Pallars Sobirà</t>
        </is>
      </c>
      <c r="E366" s="33" t="inlineStr">
        <is>
          <t>No essencial</t>
        </is>
      </c>
      <c r="F366" s="53" t="n"/>
      <c r="G366" s="33"/>
      <c r="H366" s="54"/>
      <c r="I366" s="53"/>
      <c r="J366" s="55" t="n">
        <v>42.30723</v>
      </c>
      <c r="K366" s="55" t="n">
        <v>0.9742499999999999</v>
      </c>
      <c r="L366" s="56" t="inlineStr">
        <is>
          <t>Fitxa ↗</t>
        </is>
      </c>
      <c r="M366" s="56" t="inlineStr">
        <is>
          <t>Mapa ↗</t>
        </is>
      </c>
      <c r="N366" s="33"/>
      <c r="O366" s="53"/>
    </row>
    <row r="367">
      <c r="A367" s="32" t="inlineStr">
        <is>
          <t>Tossal de Codonyac</t>
        </is>
      </c>
      <c r="B367" s="52" t="n">
        <v>1425</v>
      </c>
      <c r="C367" s="53" t="inlineStr">
        <is>
          <t>Pallars Jussà</t>
        </is>
      </c>
      <c r="D367" s="53" t="inlineStr">
        <is>
          <t>Pallars Jussà</t>
        </is>
      </c>
      <c r="E367" s="33" t="inlineStr">
        <is>
          <t>No essencial</t>
        </is>
      </c>
      <c r="F367" s="53" t="n"/>
      <c r="G367" s="33"/>
      <c r="H367" s="54"/>
      <c r="I367" s="53"/>
      <c r="J367" s="55" t="n">
        <v>42.22797</v>
      </c>
      <c r="K367" s="55" t="n">
        <v>0.81421</v>
      </c>
      <c r="L367" s="56" t="inlineStr">
        <is>
          <t>Fitxa ↗</t>
        </is>
      </c>
      <c r="M367" s="56" t="inlineStr">
        <is>
          <t>Mapa ↗</t>
        </is>
      </c>
      <c r="N367" s="33"/>
      <c r="O367" s="53"/>
    </row>
    <row r="368">
      <c r="A368" s="32" t="inlineStr">
        <is>
          <t>Sant Corneli</t>
        </is>
      </c>
      <c r="B368" s="52" t="n">
        <v>1351</v>
      </c>
      <c r="C368" s="53" t="inlineStr">
        <is>
          <t>Pallars Jussà</t>
        </is>
      </c>
      <c r="D368" s="53" t="inlineStr">
        <is>
          <t>Pallars Jussà</t>
        </is>
      </c>
      <c r="E368" s="33" t="inlineStr">
        <is>
          <t>Essencial</t>
        </is>
      </c>
      <c r="F368" s="53" t="n"/>
      <c r="G368" s="33"/>
      <c r="H368" s="54"/>
      <c r="I368" s="53"/>
      <c r="J368" s="55" t="n">
        <v>42.18282</v>
      </c>
      <c r="K368" s="55" t="n">
        <v>1.00279</v>
      </c>
      <c r="L368" s="56" t="inlineStr">
        <is>
          <t>Fitxa ↗</t>
        </is>
      </c>
      <c r="M368" s="56" t="inlineStr">
        <is>
          <t>Mapa ↗</t>
        </is>
      </c>
      <c r="N368" s="33"/>
      <c r="O368" s="53"/>
    </row>
    <row r="369">
      <c r="A369" s="32" t="inlineStr">
        <is>
          <t>el Codó</t>
        </is>
      </c>
      <c r="B369" s="52" t="n">
        <v>1327</v>
      </c>
      <c r="C369" s="53" t="inlineStr">
        <is>
          <t>Pallars Jussà</t>
        </is>
      </c>
      <c r="D369" s="53" t="inlineStr">
        <is>
          <t>Pallars Jussà</t>
        </is>
      </c>
      <c r="E369" s="33" t="inlineStr">
        <is>
          <t>No essencial</t>
        </is>
      </c>
      <c r="F369" s="53" t="n"/>
      <c r="G369" s="33"/>
      <c r="H369" s="54"/>
      <c r="I369" s="53"/>
      <c r="J369" s="55" t="n">
        <v>42.30152</v>
      </c>
      <c r="K369" s="55" t="n">
        <v>0.9146</v>
      </c>
      <c r="L369" s="56" t="inlineStr">
        <is>
          <t>Fitxa ↗</t>
        </is>
      </c>
      <c r="M369" s="56" t="inlineStr">
        <is>
          <t>Mapa ↗</t>
        </is>
      </c>
      <c r="N369" s="33"/>
      <c r="O369" s="53"/>
    </row>
    <row r="370">
      <c r="A370" s="32" t="inlineStr">
        <is>
          <t>Montllobar</t>
        </is>
      </c>
      <c r="B370" s="52" t="n">
        <v>1104</v>
      </c>
      <c r="C370" s="53" t="inlineStr">
        <is>
          <t>Pallars Jussà</t>
        </is>
      </c>
      <c r="D370" s="53" t="inlineStr">
        <is>
          <t>Pallars Jussà</t>
        </is>
      </c>
      <c r="E370" s="33" t="inlineStr">
        <is>
          <t>No essencial</t>
        </is>
      </c>
      <c r="F370" s="53" t="n"/>
      <c r="G370" s="33"/>
      <c r="H370" s="54"/>
      <c r="I370" s="53"/>
      <c r="J370" s="55" t="n">
        <v>42.1466</v>
      </c>
      <c r="K370" s="55" t="n">
        <v>0.79777</v>
      </c>
      <c r="L370" s="56" t="inlineStr">
        <is>
          <t>Fitxa ↗</t>
        </is>
      </c>
      <c r="M370" s="56" t="inlineStr">
        <is>
          <t>Mapa ↗</t>
        </is>
      </c>
      <c r="N370" s="33"/>
      <c r="O370" s="53"/>
    </row>
    <row r="371">
      <c r="A371" s="32" t="inlineStr">
        <is>
          <t>Pica d’Estats</t>
        </is>
      </c>
      <c r="B371" s="52" t="n">
        <v>3144</v>
      </c>
      <c r="C371" s="53" t="inlineStr">
        <is>
          <t>Pallars Sobirà</t>
        </is>
      </c>
      <c r="D371" s="53" t="inlineStr">
        <is>
          <t>Pallars Sobirà</t>
        </is>
      </c>
      <c r="E371" s="33" t="inlineStr">
        <is>
          <t>Essencial</t>
        </is>
      </c>
      <c r="F371" s="53" t="inlineStr">
        <is>
          <t>Pallars Sobirà</t>
        </is>
      </c>
      <c r="G371" s="33"/>
      <c r="H371" s="54"/>
      <c r="I371" s="53"/>
      <c r="J371" s="55" t="n">
        <v>42.66694</v>
      </c>
      <c r="K371" s="55" t="n">
        <v>1.3979</v>
      </c>
      <c r="L371" s="56" t="inlineStr">
        <is>
          <t>Fitxa ↗</t>
        </is>
      </c>
      <c r="M371" s="56" t="inlineStr">
        <is>
          <t>Mapa ↗</t>
        </is>
      </c>
      <c r="N371" s="33"/>
      <c r="O371" s="53"/>
    </row>
    <row r="372">
      <c r="A372" s="32" t="inlineStr">
        <is>
          <t>Pic de Sotllo</t>
        </is>
      </c>
      <c r="B372" s="52" t="n">
        <v>3073</v>
      </c>
      <c r="C372" s="53" t="inlineStr">
        <is>
          <t>Pallars Sobirà</t>
        </is>
      </c>
      <c r="D372" s="53" t="inlineStr">
        <is>
          <t>Pallars Sobirà</t>
        </is>
      </c>
      <c r="E372" s="33" t="inlineStr">
        <is>
          <t>Essencial</t>
        </is>
      </c>
      <c r="F372" s="53" t="n"/>
      <c r="G372" s="33"/>
      <c r="H372" s="54"/>
      <c r="I372" s="53"/>
      <c r="J372" s="55" t="n">
        <v>42.66871</v>
      </c>
      <c r="K372" s="55" t="n">
        <v>1.38746</v>
      </c>
      <c r="L372" s="56" t="inlineStr">
        <is>
          <t>Fitxa ↗</t>
        </is>
      </c>
      <c r="M372" s="56" t="inlineStr">
        <is>
          <t>Mapa ↗</t>
        </is>
      </c>
      <c r="N372" s="33"/>
      <c r="O372" s="53"/>
    </row>
    <row r="373">
      <c r="A373" s="32" t="inlineStr">
        <is>
          <t>Pic de Canalbona</t>
        </is>
      </c>
      <c r="B373" s="52" t="n">
        <v>2965</v>
      </c>
      <c r="C373" s="53" t="inlineStr">
        <is>
          <t>Pallars Sobirà</t>
        </is>
      </c>
      <c r="D373" s="53" t="inlineStr">
        <is>
          <t>Pallars Sobirà</t>
        </is>
      </c>
      <c r="E373" s="33" t="inlineStr">
        <is>
          <t>No essencial</t>
        </is>
      </c>
      <c r="F373" s="53" t="n"/>
      <c r="G373" s="33"/>
      <c r="H373" s="54"/>
      <c r="I373" s="53"/>
      <c r="J373" s="55" t="n">
        <v>42.65658</v>
      </c>
      <c r="K373" s="55" t="n">
        <v>1.40589</v>
      </c>
      <c r="L373" s="56" t="inlineStr">
        <is>
          <t>Fitxa ↗</t>
        </is>
      </c>
      <c r="M373" s="56" t="inlineStr">
        <is>
          <t>Mapa ↗</t>
        </is>
      </c>
      <c r="N373" s="33"/>
      <c r="O373" s="53"/>
    </row>
    <row r="374">
      <c r="A374" s="32" t="inlineStr">
        <is>
          <t>Pic de Baborte</t>
        </is>
      </c>
      <c r="B374" s="52" t="n">
        <v>2934</v>
      </c>
      <c r="C374" s="53" t="inlineStr">
        <is>
          <t>Pallars Sobirà</t>
        </is>
      </c>
      <c r="D374" s="53" t="inlineStr">
        <is>
          <t>Pallars Sobirà</t>
        </is>
      </c>
      <c r="E374" s="33" t="inlineStr">
        <is>
          <t>No essencial</t>
        </is>
      </c>
      <c r="F374" s="53" t="n"/>
      <c r="G374" s="33"/>
      <c r="H374" s="54"/>
      <c r="I374" s="53"/>
      <c r="J374" s="55" t="n">
        <v>42.65746</v>
      </c>
      <c r="K374" s="55" t="n">
        <v>1.36707</v>
      </c>
      <c r="L374" s="56" t="inlineStr">
        <is>
          <t>Fitxa ↗</t>
        </is>
      </c>
      <c r="M374" s="56" t="inlineStr">
        <is>
          <t>Mapa ↗</t>
        </is>
      </c>
      <c r="N374" s="33"/>
      <c r="O374" s="53"/>
    </row>
    <row r="375">
      <c r="A375" s="32" t="inlineStr">
        <is>
          <t>Monteixo</t>
        </is>
      </c>
      <c r="B375" s="52" t="n">
        <v>2905</v>
      </c>
      <c r="C375" s="53" t="inlineStr">
        <is>
          <t>Pallars Sobirà</t>
        </is>
      </c>
      <c r="D375" s="53" t="inlineStr">
        <is>
          <t>Pallars Sobirà</t>
        </is>
      </c>
      <c r="E375" s="33" t="inlineStr">
        <is>
          <t>Essencial</t>
        </is>
      </c>
      <c r="F375" s="53" t="n"/>
      <c r="G375" s="33"/>
      <c r="H375" s="54"/>
      <c r="I375" s="53"/>
      <c r="J375" s="55" t="n">
        <v>42.60175</v>
      </c>
      <c r="K375" s="55" t="n">
        <v>1.36165</v>
      </c>
      <c r="L375" s="56" t="inlineStr">
        <is>
          <t>Fitxa ↗</t>
        </is>
      </c>
      <c r="M375" s="56" t="inlineStr">
        <is>
          <t>Mapa ↗</t>
        </is>
      </c>
      <c r="N375" s="33"/>
      <c r="O375" s="53"/>
    </row>
    <row r="376">
      <c r="A376" s="32" t="inlineStr">
        <is>
          <t>Pica Roja</t>
        </is>
      </c>
      <c r="B376" s="52" t="n">
        <v>2903</v>
      </c>
      <c r="C376" s="53" t="inlineStr">
        <is>
          <t>Pallars Sobirà</t>
        </is>
      </c>
      <c r="D376" s="53" t="inlineStr">
        <is>
          <t>Pallars Sobirà</t>
        </is>
      </c>
      <c r="E376" s="33" t="inlineStr">
        <is>
          <t>No essencial</t>
        </is>
      </c>
      <c r="F376" s="53" t="n"/>
      <c r="G376" s="33"/>
      <c r="H376" s="54"/>
      <c r="I376" s="53"/>
      <c r="J376" s="55" t="n">
        <v>42.625</v>
      </c>
      <c r="K376" s="55" t="n">
        <v>1.42041</v>
      </c>
      <c r="L376" s="56" t="inlineStr">
        <is>
          <t>Fitxa ↗</t>
        </is>
      </c>
      <c r="M376" s="56" t="inlineStr">
        <is>
          <t>Mapa ↗</t>
        </is>
      </c>
      <c r="N376" s="33"/>
      <c r="O376" s="53"/>
    </row>
    <row r="377">
      <c r="A377" s="32" t="inlineStr">
        <is>
          <t>Pics de Bassiero (Occidental)</t>
        </is>
      </c>
      <c r="B377" s="52" t="n">
        <v>2903</v>
      </c>
      <c r="C377" s="53" t="inlineStr">
        <is>
          <t>Pallars Sobirà</t>
        </is>
      </c>
      <c r="D377" s="53" t="inlineStr">
        <is>
          <t>Pallars Sobirà</t>
        </is>
      </c>
      <c r="E377" s="33" t="inlineStr">
        <is>
          <t>No essencial</t>
        </is>
      </c>
      <c r="F377" s="53" t="n"/>
      <c r="G377" s="33"/>
      <c r="H377" s="54"/>
      <c r="I377" s="53"/>
      <c r="J377" s="55" t="n">
        <v>42.60668</v>
      </c>
      <c r="K377" s="55" t="n">
        <v>0.99537</v>
      </c>
      <c r="L377" s="56" t="inlineStr">
        <is>
          <t>Fitxa ↗</t>
        </is>
      </c>
      <c r="M377" s="56" t="inlineStr">
        <is>
          <t>Mapa ↗</t>
        </is>
      </c>
      <c r="N377" s="33"/>
      <c r="O377" s="53"/>
    </row>
    <row r="378">
      <c r="A378" s="32" t="inlineStr">
        <is>
          <t>Montsaliente</t>
        </is>
      </c>
      <c r="B378" s="52" t="n">
        <v>2890</v>
      </c>
      <c r="C378" s="53" t="inlineStr">
        <is>
          <t>Pallars Sobirà</t>
        </is>
      </c>
      <c r="D378" s="53" t="inlineStr">
        <is>
          <t>Pallars Sobirà</t>
        </is>
      </c>
      <c r="E378" s="33" t="inlineStr">
        <is>
          <t>No essencial</t>
        </is>
      </c>
      <c r="F378" s="53" t="n"/>
      <c r="G378" s="33"/>
      <c r="H378" s="54"/>
      <c r="I378" s="53"/>
      <c r="J378" s="55" t="n">
        <v>42.6031</v>
      </c>
      <c r="K378" s="55" t="n">
        <v>1.00869</v>
      </c>
      <c r="L378" s="56" t="inlineStr">
        <is>
          <t>Fitxa ↗</t>
        </is>
      </c>
      <c r="M378" s="56" t="inlineStr">
        <is>
          <t>Mapa ↗</t>
        </is>
      </c>
      <c r="N378" s="33"/>
      <c r="O378" s="53"/>
    </row>
    <row r="379">
      <c r="A379" s="32" t="inlineStr">
        <is>
          <t>Pui de Linya</t>
        </is>
      </c>
      <c r="B379" s="52" t="n">
        <v>2870</v>
      </c>
      <c r="C379" s="53" t="inlineStr">
        <is>
          <t>Pallars Sobirà</t>
        </is>
      </c>
      <c r="D379" s="53" t="inlineStr">
        <is>
          <t>Pallars Sobirà</t>
        </is>
      </c>
      <c r="E379" s="33" t="inlineStr">
        <is>
          <t>No essencial</t>
        </is>
      </c>
      <c r="F379" s="53" t="n"/>
      <c r="G379" s="33"/>
      <c r="H379" s="54"/>
      <c r="I379" s="53"/>
      <c r="J379" s="55" t="n">
        <v>42.56598</v>
      </c>
      <c r="K379" s="55" t="n">
        <v>1.04325</v>
      </c>
      <c r="L379" s="56" t="inlineStr">
        <is>
          <t>Fitxa ↗</t>
        </is>
      </c>
      <c r="M379" s="56" t="inlineStr">
        <is>
          <t>Mapa ↗</t>
        </is>
      </c>
      <c r="N379" s="33"/>
      <c r="O379" s="53"/>
    </row>
    <row r="380">
      <c r="A380" s="32" t="inlineStr">
        <is>
          <t>Mont-roig</t>
        </is>
      </c>
      <c r="B380" s="52" t="n">
        <v>2864</v>
      </c>
      <c r="C380" s="53" t="inlineStr">
        <is>
          <t>Pallars Sobirà</t>
        </is>
      </c>
      <c r="D380" s="53" t="inlineStr">
        <is>
          <t>Pallars Sobirà</t>
        </is>
      </c>
      <c r="E380" s="33" t="inlineStr">
        <is>
          <t>Essencial</t>
        </is>
      </c>
      <c r="F380" s="53" t="n"/>
      <c r="G380" s="33"/>
      <c r="H380" s="54"/>
      <c r="I380" s="53"/>
      <c r="J380" s="55" t="n">
        <v>42.7108</v>
      </c>
      <c r="K380" s="55" t="n">
        <v>1.1768</v>
      </c>
      <c r="L380" s="56" t="inlineStr">
        <is>
          <t>Fitxa ↗</t>
        </is>
      </c>
      <c r="M380" s="56" t="inlineStr">
        <is>
          <t>Mapa ↗</t>
        </is>
      </c>
      <c r="N380" s="33"/>
      <c r="O380" s="53"/>
    </row>
    <row r="381">
      <c r="A381" s="32" t="inlineStr">
        <is>
          <t>Tuc de Ratera</t>
        </is>
      </c>
      <c r="B381" s="52" t="n">
        <v>2861</v>
      </c>
      <c r="C381" s="53" t="inlineStr">
        <is>
          <t>Pallars Sobirà</t>
        </is>
      </c>
      <c r="D381" s="53" t="inlineStr">
        <is>
          <t>Pallars Sobirà, Val d'Aran</t>
        </is>
      </c>
      <c r="E381" s="33" t="inlineStr">
        <is>
          <t>Essencial</t>
        </is>
      </c>
      <c r="F381" s="53" t="n"/>
      <c r="G381" s="33"/>
      <c r="H381" s="54"/>
      <c r="I381" s="53"/>
      <c r="J381" s="55" t="n">
        <v>42.60122</v>
      </c>
      <c r="K381" s="55" t="n">
        <v>0.95348</v>
      </c>
      <c r="L381" s="56" t="inlineStr">
        <is>
          <t>Fitxa ↗</t>
        </is>
      </c>
      <c r="M381" s="56" t="inlineStr">
        <is>
          <t>Mapa ↗</t>
        </is>
      </c>
      <c r="N381" s="33"/>
      <c r="O381" s="53"/>
    </row>
    <row r="382">
      <c r="A382" s="32" t="inlineStr">
        <is>
          <t>Pic de Gerri</t>
        </is>
      </c>
      <c r="B382" s="52" t="n">
        <v>2859</v>
      </c>
      <c r="C382" s="53" t="inlineStr">
        <is>
          <t>Pallars Sobirà</t>
        </is>
      </c>
      <c r="D382" s="53" t="inlineStr">
        <is>
          <t>Pallars Sobirà</t>
        </is>
      </c>
      <c r="E382" s="33" t="inlineStr">
        <is>
          <t>No essencial</t>
        </is>
      </c>
      <c r="F382" s="53" t="n"/>
      <c r="G382" s="33"/>
      <c r="H382" s="54"/>
      <c r="I382" s="53"/>
      <c r="J382" s="55" t="n">
        <v>42.59753</v>
      </c>
      <c r="K382" s="55" t="n">
        <v>1.39425</v>
      </c>
      <c r="L382" s="56" t="inlineStr">
        <is>
          <t>Fitxa ↗</t>
        </is>
      </c>
      <c r="M382" s="56" t="inlineStr">
        <is>
          <t>Mapa ↗</t>
        </is>
      </c>
      <c r="N382" s="33"/>
      <c r="O382" s="53"/>
    </row>
    <row r="383">
      <c r="A383" s="32" t="inlineStr">
        <is>
          <t>Pic de Certascan</t>
        </is>
      </c>
      <c r="B383" s="52" t="n">
        <v>2853</v>
      </c>
      <c r="C383" s="53" t="inlineStr">
        <is>
          <t>Pallars Sobirà</t>
        </is>
      </c>
      <c r="D383" s="53" t="inlineStr">
        <is>
          <t>Pallars Sobirà</t>
        </is>
      </c>
      <c r="E383" s="33" t="inlineStr">
        <is>
          <t>Essencial</t>
        </is>
      </c>
      <c r="F383" s="53" t="n"/>
      <c r="G383" s="33"/>
      <c r="H383" s="54"/>
      <c r="I383" s="53"/>
      <c r="J383" s="55" t="n">
        <v>42.71197</v>
      </c>
      <c r="K383" s="55" t="n">
        <v>1.27772</v>
      </c>
      <c r="L383" s="56" t="inlineStr">
        <is>
          <t>Fitxa ↗</t>
        </is>
      </c>
      <c r="M383" s="56" t="inlineStr">
        <is>
          <t>Mapa ↗</t>
        </is>
      </c>
      <c r="N383" s="33"/>
      <c r="O383" s="53"/>
    </row>
    <row r="384">
      <c r="A384" s="32" t="inlineStr">
        <is>
          <t>Pic de Ventolau</t>
        </is>
      </c>
      <c r="B384" s="52" t="n">
        <v>2851</v>
      </c>
      <c r="C384" s="53" t="inlineStr">
        <is>
          <t>Pallars Sobirà</t>
        </is>
      </c>
      <c r="D384" s="53" t="inlineStr">
        <is>
          <t>Pallars Sobirà</t>
        </is>
      </c>
      <c r="E384" s="33" t="inlineStr">
        <is>
          <t>No essencial</t>
        </is>
      </c>
      <c r="F384" s="53" t="n"/>
      <c r="G384" s="33"/>
      <c r="H384" s="54"/>
      <c r="I384" s="53"/>
      <c r="J384" s="55" t="n">
        <v>42.69065</v>
      </c>
      <c r="K384" s="55" t="n">
        <v>1.19042</v>
      </c>
      <c r="L384" s="56" t="inlineStr">
        <is>
          <t>Fitxa ↗</t>
        </is>
      </c>
      <c r="M384" s="56" t="inlineStr">
        <is>
          <t>Mapa ↗</t>
        </is>
      </c>
      <c r="N384" s="33"/>
      <c r="O384" s="53"/>
    </row>
    <row r="385">
      <c r="A385" s="32" t="inlineStr">
        <is>
          <t>Pic de Saboredo</t>
        </is>
      </c>
      <c r="B385" s="52" t="n">
        <v>2830</v>
      </c>
      <c r="C385" s="53" t="inlineStr">
        <is>
          <t>Pallars Sobirà</t>
        </is>
      </c>
      <c r="D385" s="53" t="inlineStr">
        <is>
          <t>Pallars Sobirà</t>
        </is>
      </c>
      <c r="E385" s="33" t="inlineStr">
        <is>
          <t>No essencial</t>
        </is>
      </c>
      <c r="F385" s="53" t="n"/>
      <c r="G385" s="33"/>
      <c r="H385" s="54"/>
      <c r="I385" s="53"/>
      <c r="J385" s="55" t="n">
        <v>42.6079</v>
      </c>
      <c r="K385" s="55" t="n">
        <v>0.98102</v>
      </c>
      <c r="L385" s="56" t="inlineStr">
        <is>
          <t>Fitxa ↗</t>
        </is>
      </c>
      <c r="M385" s="56" t="inlineStr">
        <is>
          <t>Mapa ↗</t>
        </is>
      </c>
      <c r="N385" s="33"/>
      <c r="O385" s="53"/>
    </row>
    <row r="386">
      <c r="A386" s="32" t="inlineStr">
        <is>
          <t>les Picardes</t>
        </is>
      </c>
      <c r="B386" s="52" t="n">
        <v>2802</v>
      </c>
      <c r="C386" s="53" t="inlineStr">
        <is>
          <t>Pallars Sobirà</t>
        </is>
      </c>
      <c r="D386" s="53" t="inlineStr">
        <is>
          <t>Pallars Sobirà</t>
        </is>
      </c>
      <c r="E386" s="33" t="inlineStr">
        <is>
          <t>No essencial</t>
        </is>
      </c>
      <c r="F386" s="53" t="n"/>
      <c r="G386" s="33"/>
      <c r="H386" s="54"/>
      <c r="I386" s="53"/>
      <c r="J386" s="55" t="n">
        <v>42.52716</v>
      </c>
      <c r="K386" s="55" t="n">
        <v>1.05268</v>
      </c>
      <c r="L386" s="56" t="inlineStr">
        <is>
          <t>Fitxa ↗</t>
        </is>
      </c>
      <c r="M386" s="56" t="inlineStr">
        <is>
          <t>Mapa ↗</t>
        </is>
      </c>
      <c r="N386" s="33"/>
      <c r="O386" s="53"/>
    </row>
    <row r="387">
      <c r="A387" s="32" t="inlineStr">
        <is>
          <t>Pic de Flamisella</t>
        </is>
      </c>
      <c r="B387" s="52" t="n">
        <v>2782</v>
      </c>
      <c r="C387" s="53" t="inlineStr">
        <is>
          <t>Pallars Sobirà</t>
        </is>
      </c>
      <c r="D387" s="53" t="inlineStr">
        <is>
          <t>Pallars Sobirà</t>
        </is>
      </c>
      <c r="E387" s="33" t="inlineStr">
        <is>
          <t>No essencial</t>
        </is>
      </c>
      <c r="F387" s="53" t="n"/>
      <c r="G387" s="33"/>
      <c r="H387" s="54"/>
      <c r="I387" s="53"/>
      <c r="J387" s="55" t="n">
        <v>42.71274</v>
      </c>
      <c r="K387" s="55" t="n">
        <v>1.2614</v>
      </c>
      <c r="L387" s="56" t="inlineStr">
        <is>
          <t>Fitxa ↗</t>
        </is>
      </c>
      <c r="M387" s="56" t="inlineStr">
        <is>
          <t>Mapa ↗</t>
        </is>
      </c>
      <c r="N387" s="33"/>
      <c r="O387" s="53"/>
    </row>
    <row r="388">
      <c r="A388" s="32" t="inlineStr">
        <is>
          <t>Pui de la Bonaigua</t>
        </is>
      </c>
      <c r="B388" s="52" t="n">
        <v>2778</v>
      </c>
      <c r="C388" s="53" t="inlineStr">
        <is>
          <t>Pallars Sobirà</t>
        </is>
      </c>
      <c r="D388" s="53" t="inlineStr">
        <is>
          <t>Pallars Sobirà</t>
        </is>
      </c>
      <c r="E388" s="33" t="inlineStr">
        <is>
          <t>No essencial</t>
        </is>
      </c>
      <c r="F388" s="53" t="n"/>
      <c r="G388" s="33"/>
      <c r="H388" s="54"/>
      <c r="I388" s="53"/>
      <c r="J388" s="55" t="n">
        <v>42.6272</v>
      </c>
      <c r="K388" s="55" t="n">
        <v>1.01948</v>
      </c>
      <c r="L388" s="56" t="inlineStr">
        <is>
          <t>Fitxa ↗</t>
        </is>
      </c>
      <c r="M388" s="56" t="inlineStr">
        <is>
          <t>Mapa ↗</t>
        </is>
      </c>
      <c r="N388" s="33"/>
      <c r="O388" s="53"/>
    </row>
    <row r="389">
      <c r="A389" s="32" t="inlineStr">
        <is>
          <t>Pic de Moredo</t>
        </is>
      </c>
      <c r="B389" s="52" t="n">
        <v>2766</v>
      </c>
      <c r="C389" s="53" t="inlineStr">
        <is>
          <t>Pallars Sobirà</t>
        </is>
      </c>
      <c r="D389" s="53" t="inlineStr">
        <is>
          <t>Pallars Sobirà</t>
        </is>
      </c>
      <c r="E389" s="33" t="inlineStr">
        <is>
          <t>Essencial</t>
        </is>
      </c>
      <c r="F389" s="53" t="n"/>
      <c r="G389" s="33"/>
      <c r="H389" s="54"/>
      <c r="I389" s="53"/>
      <c r="J389" s="55" t="n">
        <v>42.71894</v>
      </c>
      <c r="K389" s="55" t="n">
        <v>1.04993</v>
      </c>
      <c r="L389" s="56" t="inlineStr">
        <is>
          <t>Fitxa ↗</t>
        </is>
      </c>
      <c r="M389" s="56" t="inlineStr">
        <is>
          <t>Mapa ↗</t>
        </is>
      </c>
      <c r="N389" s="33"/>
      <c r="O389" s="53"/>
    </row>
    <row r="390">
      <c r="A390" s="32" t="inlineStr">
        <is>
          <t>Gran Encantat</t>
        </is>
      </c>
      <c r="B390" s="52" t="n">
        <v>2749</v>
      </c>
      <c r="C390" s="53" t="inlineStr">
        <is>
          <t>Pallars Sobirà</t>
        </is>
      </c>
      <c r="D390" s="53" t="inlineStr">
        <is>
          <t>Pallars Sobirà</t>
        </is>
      </c>
      <c r="E390" s="33" t="inlineStr">
        <is>
          <t>No essencial</t>
        </is>
      </c>
      <c r="F390" s="53" t="n"/>
      <c r="G390" s="33"/>
      <c r="H390" s="54"/>
      <c r="I390" s="53"/>
      <c r="J390" s="55" t="n">
        <v>42.56841</v>
      </c>
      <c r="K390" s="55" t="n">
        <v>1.01484</v>
      </c>
      <c r="L390" s="56" t="inlineStr">
        <is>
          <t>Fitxa ↗</t>
        </is>
      </c>
      <c r="M390" s="56" t="inlineStr">
        <is>
          <t>Mapa ↗</t>
        </is>
      </c>
      <c r="N390" s="33"/>
      <c r="O390" s="53"/>
    </row>
    <row r="391">
      <c r="A391" s="32" t="inlineStr">
        <is>
          <t>Cap de Broate</t>
        </is>
      </c>
      <c r="B391" s="52" t="n">
        <v>2741</v>
      </c>
      <c r="C391" s="53" t="inlineStr">
        <is>
          <t>Pallars Sobirà</t>
        </is>
      </c>
      <c r="D391" s="53" t="inlineStr">
        <is>
          <t>Pallars Sobirà</t>
        </is>
      </c>
      <c r="E391" s="33" t="inlineStr">
        <is>
          <t>No essencial</t>
        </is>
      </c>
      <c r="F391" s="53" t="n"/>
      <c r="G391" s="33"/>
      <c r="H391" s="54"/>
      <c r="I391" s="53"/>
      <c r="J391" s="55" t="n">
        <v>42.69237</v>
      </c>
      <c r="K391" s="55" t="n">
        <v>1.36438</v>
      </c>
      <c r="L391" s="56" t="inlineStr">
        <is>
          <t>Fitxa ↗</t>
        </is>
      </c>
      <c r="M391" s="56" t="inlineStr">
        <is>
          <t>Mapa ↗</t>
        </is>
      </c>
      <c r="N391" s="33"/>
      <c r="O391" s="53"/>
    </row>
    <row r="392">
      <c r="A392" s="32" t="inlineStr">
        <is>
          <t>Pic del Portarró</t>
        </is>
      </c>
      <c r="B392" s="52" t="n">
        <v>2734</v>
      </c>
      <c r="C392" s="53" t="inlineStr">
        <is>
          <t>Pallars Sobirà</t>
        </is>
      </c>
      <c r="D392" s="53" t="inlineStr">
        <is>
          <t>Pallars Sobirà</t>
        </is>
      </c>
      <c r="E392" s="33" t="inlineStr">
        <is>
          <t>No essencial</t>
        </is>
      </c>
      <c r="F392" s="53" t="n"/>
      <c r="G392" s="33"/>
      <c r="H392" s="54"/>
      <c r="I392" s="53"/>
      <c r="J392" s="55" t="n">
        <v>42.58374</v>
      </c>
      <c r="K392" s="55" t="n">
        <v>0.97015</v>
      </c>
      <c r="L392" s="56" t="inlineStr">
        <is>
          <t>Fitxa ↗</t>
        </is>
      </c>
      <c r="M392" s="56" t="inlineStr">
        <is>
          <t>Mapa ↗</t>
        </is>
      </c>
      <c r="N392" s="33"/>
      <c r="O392" s="53"/>
    </row>
    <row r="393">
      <c r="A393" s="32" t="inlineStr">
        <is>
          <t>Pic de Clavera</t>
        </is>
      </c>
      <c r="B393" s="52" t="n">
        <v>2721</v>
      </c>
      <c r="C393" s="53" t="inlineStr">
        <is>
          <t>Pallars Sobirà</t>
        </is>
      </c>
      <c r="D393" s="53" t="inlineStr">
        <is>
          <t>Pallars Sobirà</t>
        </is>
      </c>
      <c r="E393" s="33" t="inlineStr">
        <is>
          <t>No essencial</t>
        </is>
      </c>
      <c r="F393" s="53" t="n"/>
      <c r="G393" s="33"/>
      <c r="H393" s="54"/>
      <c r="I393" s="53"/>
      <c r="J393" s="55" t="n">
        <v>42.78779</v>
      </c>
      <c r="K393" s="55" t="n">
        <v>1.07672</v>
      </c>
      <c r="L393" s="56" t="inlineStr">
        <is>
          <t>Fitxa ↗</t>
        </is>
      </c>
      <c r="M393" s="56" t="inlineStr">
        <is>
          <t>Mapa ↗</t>
        </is>
      </c>
      <c r="N393" s="33"/>
      <c r="O393" s="53"/>
    </row>
    <row r="394">
      <c r="A394" s="32" t="inlineStr">
        <is>
          <t>Lo Tésol (Tesó de Son)</t>
        </is>
      </c>
      <c r="B394" s="52" t="n">
        <v>2700</v>
      </c>
      <c r="C394" s="53" t="inlineStr">
        <is>
          <t>Pallars Sobirà</t>
        </is>
      </c>
      <c r="D394" s="53" t="inlineStr">
        <is>
          <t>Pallars Sobirà</t>
        </is>
      </c>
      <c r="E394" s="33" t="inlineStr">
        <is>
          <t>Essencial</t>
        </is>
      </c>
      <c r="F394" s="53" t="n"/>
      <c r="G394" s="33"/>
      <c r="H394" s="54"/>
      <c r="I394" s="53"/>
      <c r="J394" s="55" t="n">
        <v>42.60837</v>
      </c>
      <c r="K394" s="55" t="n">
        <v>1.03926</v>
      </c>
      <c r="L394" s="56" t="inlineStr">
        <is>
          <t>Fitxa ↗</t>
        </is>
      </c>
      <c r="M394" s="56" t="inlineStr">
        <is>
          <t>Mapa ↗</t>
        </is>
      </c>
      <c r="N394" s="33"/>
      <c r="O394" s="53"/>
    </row>
    <row r="395">
      <c r="A395" s="32" t="inlineStr">
        <is>
          <t>Tuc de Marimanya</t>
        </is>
      </c>
      <c r="B395" s="52" t="n">
        <v>2679</v>
      </c>
      <c r="C395" s="53" t="inlineStr">
        <is>
          <t>Pallars Sobirà</t>
        </is>
      </c>
      <c r="D395" s="53" t="inlineStr">
        <is>
          <t>Pallars Sobirà, Val d'Aran</t>
        </is>
      </c>
      <c r="E395" s="33" t="inlineStr">
        <is>
          <t>No essencial</t>
        </is>
      </c>
      <c r="F395" s="53" t="n"/>
      <c r="G395" s="33"/>
      <c r="H395" s="54"/>
      <c r="I395" s="53"/>
      <c r="J395" s="55" t="n">
        <v>42.70924</v>
      </c>
      <c r="K395" s="55" t="n">
        <v>1.01233</v>
      </c>
      <c r="L395" s="56" t="inlineStr">
        <is>
          <t>Fitxa ↗</t>
        </is>
      </c>
      <c r="M395" s="56" t="inlineStr">
        <is>
          <t>Mapa ↗</t>
        </is>
      </c>
      <c r="N395" s="33"/>
      <c r="O395" s="53"/>
    </row>
    <row r="396">
      <c r="A396" s="32" t="inlineStr">
        <is>
          <t>Pic de Mariola</t>
        </is>
      </c>
      <c r="B396" s="52" t="n">
        <v>2663</v>
      </c>
      <c r="C396" s="53" t="inlineStr">
        <is>
          <t>Pallars Sobirà</t>
        </is>
      </c>
      <c r="D396" s="53" t="inlineStr">
        <is>
          <t>Pallars Sobirà</t>
        </is>
      </c>
      <c r="E396" s="33" t="inlineStr">
        <is>
          <t>No essencial</t>
        </is>
      </c>
      <c r="F396" s="53" t="n"/>
      <c r="G396" s="33"/>
      <c r="H396" s="54"/>
      <c r="I396" s="53"/>
      <c r="J396" s="55" t="n">
        <v>42.72005</v>
      </c>
      <c r="K396" s="55" t="n">
        <v>1.21664</v>
      </c>
      <c r="L396" s="56" t="inlineStr">
        <is>
          <t>Fitxa ↗</t>
        </is>
      </c>
      <c r="M396" s="56" t="inlineStr">
        <is>
          <t>Mapa ↗</t>
        </is>
      </c>
      <c r="N396" s="33"/>
      <c r="O396" s="53"/>
    </row>
    <row r="397">
      <c r="A397" s="32" t="inlineStr">
        <is>
          <t>Tuc de la Llança</t>
        </is>
      </c>
      <c r="B397" s="52" t="n">
        <v>2659</v>
      </c>
      <c r="C397" s="53" t="inlineStr">
        <is>
          <t>Pallars Sobirà</t>
        </is>
      </c>
      <c r="D397" s="53" t="inlineStr">
        <is>
          <t>Pallars Sobirà</t>
        </is>
      </c>
      <c r="E397" s="33" t="inlineStr">
        <is>
          <t>Essencial</t>
        </is>
      </c>
      <c r="F397" s="53" t="n"/>
      <c r="G397" s="33"/>
      <c r="H397" s="54"/>
      <c r="I397" s="53"/>
      <c r="J397" s="55" t="n">
        <v>42.68406</v>
      </c>
      <c r="K397" s="55" t="n">
        <v>0.99052</v>
      </c>
      <c r="L397" s="56" t="inlineStr">
        <is>
          <t>Fitxa ↗</t>
        </is>
      </c>
      <c r="M397" s="56" t="inlineStr">
        <is>
          <t>Mapa ↗</t>
        </is>
      </c>
      <c r="N397" s="33"/>
      <c r="O397" s="53"/>
    </row>
    <row r="398">
      <c r="A398" s="32" t="inlineStr">
        <is>
          <t>Pic de Pilàs</t>
        </is>
      </c>
      <c r="B398" s="52" t="n">
        <v>2656</v>
      </c>
      <c r="C398" s="53" t="inlineStr">
        <is>
          <t>Pallars Sobirà</t>
        </is>
      </c>
      <c r="D398" s="53" t="inlineStr">
        <is>
          <t>Pallars Sobirà</t>
        </is>
      </c>
      <c r="E398" s="33" t="inlineStr">
        <is>
          <t>No essencial</t>
        </is>
      </c>
      <c r="F398" s="53" t="n"/>
      <c r="G398" s="33"/>
      <c r="H398" s="54"/>
      <c r="I398" s="53"/>
      <c r="J398" s="55" t="n">
        <v>42.68283</v>
      </c>
      <c r="K398" s="55" t="n">
        <v>1.13151</v>
      </c>
      <c r="L398" s="56" t="inlineStr">
        <is>
          <t>Fitxa ↗</t>
        </is>
      </c>
      <c r="M398" s="56" t="inlineStr">
        <is>
          <t>Mapa ↗</t>
        </is>
      </c>
      <c r="N398" s="33"/>
      <c r="O398" s="53"/>
    </row>
    <row r="399">
      <c r="A399" s="32" t="inlineStr">
        <is>
          <t>Pic de Qüenca</t>
        </is>
      </c>
      <c r="B399" s="52" t="n">
        <v>2639</v>
      </c>
      <c r="C399" s="53" t="inlineStr">
        <is>
          <t>Pallars Sobirà</t>
        </is>
      </c>
      <c r="D399" s="53" t="inlineStr">
        <is>
          <t>Pallars Sobirà</t>
        </is>
      </c>
      <c r="E399" s="33" t="inlineStr">
        <is>
          <t>No essencial</t>
        </is>
      </c>
      <c r="F399" s="53" t="n"/>
      <c r="G399" s="33"/>
      <c r="H399" s="54"/>
      <c r="I399" s="53"/>
      <c r="J399" s="55" t="n">
        <v>42.69981</v>
      </c>
      <c r="K399" s="55" t="n">
        <v>1.0543</v>
      </c>
      <c r="L399" s="56" t="inlineStr">
        <is>
          <t>Fitxa ↗</t>
        </is>
      </c>
      <c r="M399" s="56" t="inlineStr">
        <is>
          <t>Mapa ↗</t>
        </is>
      </c>
      <c r="N399" s="33"/>
      <c r="O399" s="53"/>
    </row>
    <row r="400">
      <c r="A400" s="32" t="inlineStr">
        <is>
          <t>Campirme</t>
        </is>
      </c>
      <c r="B400" s="52" t="n">
        <v>2633</v>
      </c>
      <c r="C400" s="53" t="inlineStr">
        <is>
          <t>Pallars Sobirà</t>
        </is>
      </c>
      <c r="D400" s="53" t="inlineStr">
        <is>
          <t>Pallars Sobirà</t>
        </is>
      </c>
      <c r="E400" s="33" t="inlineStr">
        <is>
          <t>Essencial</t>
        </is>
      </c>
      <c r="F400" s="53" t="n"/>
      <c r="G400" s="33"/>
      <c r="H400" s="54"/>
      <c r="I400" s="53"/>
      <c r="J400" s="55" t="n">
        <v>42.65952</v>
      </c>
      <c r="K400" s="55" t="n">
        <v>1.19363</v>
      </c>
      <c r="L400" s="56" t="inlineStr">
        <is>
          <t>Fitxa ↗</t>
        </is>
      </c>
      <c r="M400" s="56" t="inlineStr">
        <is>
          <t>Mapa ↗</t>
        </is>
      </c>
      <c r="N400" s="33"/>
      <c r="O400" s="53"/>
    </row>
    <row r="401">
      <c r="A401" s="32" t="inlineStr">
        <is>
          <t>Montarenyo de Boldís</t>
        </is>
      </c>
      <c r="B401" s="52" t="n">
        <v>2593</v>
      </c>
      <c r="C401" s="53" t="inlineStr">
        <is>
          <t>Pallars Sobirà</t>
        </is>
      </c>
      <c r="D401" s="53" t="inlineStr">
        <is>
          <t>Pallars Sobirà</t>
        </is>
      </c>
      <c r="E401" s="33" t="inlineStr">
        <is>
          <t>No essencial</t>
        </is>
      </c>
      <c r="F401" s="53" t="n"/>
      <c r="G401" s="33"/>
      <c r="H401" s="54"/>
      <c r="I401" s="53"/>
      <c r="J401" s="55" t="n">
        <v>42.63799</v>
      </c>
      <c r="K401" s="55" t="n">
        <v>1.30749</v>
      </c>
      <c r="L401" s="56" t="inlineStr">
        <is>
          <t>Fitxa ↗</t>
        </is>
      </c>
      <c r="M401" s="56" t="inlineStr">
        <is>
          <t>Mapa ↗</t>
        </is>
      </c>
      <c r="N401" s="33"/>
      <c r="O401" s="53"/>
    </row>
    <row r="402">
      <c r="A402" s="32" t="inlineStr">
        <is>
          <t>Pic de Colatx</t>
        </is>
      </c>
      <c r="B402" s="52" t="n">
        <v>2570</v>
      </c>
      <c r="C402" s="53" t="inlineStr">
        <is>
          <t>Pallars Sobirà</t>
        </is>
      </c>
      <c r="D402" s="53" t="inlineStr">
        <is>
          <t>Pallars Sobirà</t>
        </is>
      </c>
      <c r="E402" s="33" t="inlineStr">
        <is>
          <t>No essencial</t>
        </is>
      </c>
      <c r="F402" s="53" t="n"/>
      <c r="G402" s="33"/>
      <c r="H402" s="54"/>
      <c r="I402" s="53"/>
      <c r="J402" s="55" t="n">
        <v>42.72431</v>
      </c>
      <c r="K402" s="55" t="n">
        <v>1.32536</v>
      </c>
      <c r="L402" s="56" t="inlineStr">
        <is>
          <t>Fitxa ↗</t>
        </is>
      </c>
      <c r="M402" s="56" t="inlineStr">
        <is>
          <t>Mapa ↗</t>
        </is>
      </c>
      <c r="N402" s="33"/>
      <c r="O402" s="53"/>
    </row>
    <row r="403">
      <c r="A403" s="32" t="inlineStr">
        <is>
          <t>Pic de Màniga</t>
        </is>
      </c>
      <c r="B403" s="52" t="n">
        <v>2517</v>
      </c>
      <c r="C403" s="53" t="inlineStr">
        <is>
          <t>Pallars Sobirà</t>
        </is>
      </c>
      <c r="D403" s="53" t="inlineStr">
        <is>
          <t>Pallars Sobirà</t>
        </is>
      </c>
      <c r="E403" s="33" t="inlineStr">
        <is>
          <t>No essencial</t>
        </is>
      </c>
      <c r="F403" s="53" t="n"/>
      <c r="G403" s="33"/>
      <c r="H403" s="54"/>
      <c r="I403" s="53"/>
      <c r="J403" s="55" t="n">
        <v>42.50573</v>
      </c>
      <c r="K403" s="55" t="n">
        <v>1.32884</v>
      </c>
      <c r="L403" s="56" t="inlineStr">
        <is>
          <t>Fitxa ↗</t>
        </is>
      </c>
      <c r="M403" s="56" t="inlineStr">
        <is>
          <t>Mapa ↗</t>
        </is>
      </c>
      <c r="N403" s="33"/>
      <c r="O403" s="53"/>
    </row>
    <row r="404">
      <c r="A404" s="32" t="inlineStr">
        <is>
          <t>Pic de Montalt</t>
        </is>
      </c>
      <c r="B404" s="52" t="n">
        <v>2496</v>
      </c>
      <c r="C404" s="53" t="inlineStr">
        <is>
          <t>Pallars Sobirà</t>
        </is>
      </c>
      <c r="D404" s="53" t="inlineStr">
        <is>
          <t>Pallars Sobirà</t>
        </is>
      </c>
      <c r="E404" s="33" t="inlineStr">
        <is>
          <t>No essencial</t>
        </is>
      </c>
      <c r="F404" s="53" t="n"/>
      <c r="G404" s="33"/>
      <c r="H404" s="54"/>
      <c r="I404" s="53"/>
      <c r="J404" s="55" t="n">
        <v>42.75038</v>
      </c>
      <c r="K404" s="55" t="n">
        <v>1.13284</v>
      </c>
      <c r="L404" s="56" t="inlineStr">
        <is>
          <t>Fitxa ↗</t>
        </is>
      </c>
      <c r="M404" s="56" t="inlineStr">
        <is>
          <t>Mapa ↗</t>
        </is>
      </c>
      <c r="N404" s="33"/>
      <c r="O404" s="53"/>
    </row>
    <row r="405">
      <c r="A405" s="32" t="inlineStr">
        <is>
          <t>Pic de la Plana</t>
        </is>
      </c>
      <c r="B405" s="52" t="n">
        <v>2493</v>
      </c>
      <c r="C405" s="53" t="inlineStr">
        <is>
          <t>Pallars Sobirà</t>
        </is>
      </c>
      <c r="D405" s="53" t="inlineStr">
        <is>
          <t>Pallars Sobirà</t>
        </is>
      </c>
      <c r="E405" s="33" t="inlineStr">
        <is>
          <t>No essencial</t>
        </is>
      </c>
      <c r="F405" s="53" t="n"/>
      <c r="G405" s="33"/>
      <c r="H405" s="54"/>
      <c r="I405" s="53"/>
      <c r="J405" s="55" t="n">
        <v>42.66158</v>
      </c>
      <c r="K405" s="55" t="n">
        <v>1.03668</v>
      </c>
      <c r="L405" s="56" t="inlineStr">
        <is>
          <t>Fitxa ↗</t>
        </is>
      </c>
      <c r="M405" s="56" t="inlineStr">
        <is>
          <t>Mapa ↗</t>
        </is>
      </c>
      <c r="N405" s="33"/>
      <c r="O405" s="53"/>
    </row>
    <row r="406">
      <c r="A406" s="32" t="inlineStr">
        <is>
          <t>Torreta de l’Orri</t>
        </is>
      </c>
      <c r="B406" s="52" t="n">
        <v>2436</v>
      </c>
      <c r="C406" s="53" t="inlineStr">
        <is>
          <t>Pallars Sobirà</t>
        </is>
      </c>
      <c r="D406" s="53" t="inlineStr">
        <is>
          <t>Pallars Sobirà</t>
        </is>
      </c>
      <c r="E406" s="33" t="inlineStr">
        <is>
          <t>Essencial</t>
        </is>
      </c>
      <c r="F406" s="53" t="n"/>
      <c r="G406" s="33"/>
      <c r="H406" s="54"/>
      <c r="I406" s="53"/>
      <c r="J406" s="55" t="n">
        <v>42.40866</v>
      </c>
      <c r="K406" s="55" t="n">
        <v>1.21485</v>
      </c>
      <c r="L406" s="56" t="inlineStr">
        <is>
          <t>Fitxa ↗</t>
        </is>
      </c>
      <c r="M406" s="56" t="inlineStr">
        <is>
          <t>Mapa ↗</t>
        </is>
      </c>
      <c r="N406" s="33"/>
      <c r="O406" s="53"/>
    </row>
    <row r="407">
      <c r="A407" s="32" t="inlineStr">
        <is>
          <t>Montcaubo (lo Calbo)</t>
        </is>
      </c>
      <c r="B407" s="52" t="n">
        <v>2291</v>
      </c>
      <c r="C407" s="53" t="inlineStr">
        <is>
          <t>Pallars Sobirà</t>
        </is>
      </c>
      <c r="D407" s="53" t="inlineStr">
        <is>
          <t>Pallars Sobirà</t>
        </is>
      </c>
      <c r="E407" s="33" t="inlineStr">
        <is>
          <t>No essencial</t>
        </is>
      </c>
      <c r="F407" s="53" t="n"/>
      <c r="G407" s="33"/>
      <c r="H407" s="54"/>
      <c r="I407" s="53"/>
      <c r="J407" s="55" t="n">
        <v>42.59866</v>
      </c>
      <c r="K407" s="55" t="n">
        <v>1.17942</v>
      </c>
      <c r="L407" s="56" t="inlineStr">
        <is>
          <t>Fitxa ↗</t>
        </is>
      </c>
      <c r="M407" s="56" t="inlineStr">
        <is>
          <t>Mapa ↗</t>
        </is>
      </c>
      <c r="N407" s="33"/>
      <c r="O407" s="53"/>
    </row>
    <row r="408">
      <c r="A408" s="32" t="inlineStr">
        <is>
          <t>Pui d’Urdosa</t>
        </is>
      </c>
      <c r="B408" s="52" t="n">
        <v>2226</v>
      </c>
      <c r="C408" s="53" t="inlineStr">
        <is>
          <t>Pallars Sobirà</t>
        </is>
      </c>
      <c r="D408" s="53" t="inlineStr">
        <is>
          <t>Pallars Sobirà</t>
        </is>
      </c>
      <c r="E408" s="33" t="inlineStr">
        <is>
          <t>No essencial</t>
        </is>
      </c>
      <c r="F408" s="53" t="n"/>
      <c r="G408" s="33"/>
      <c r="H408" s="54"/>
      <c r="I408" s="53"/>
      <c r="J408" s="55" t="n">
        <v>42.47118</v>
      </c>
      <c r="K408" s="55" t="n">
        <v>1.24831</v>
      </c>
      <c r="L408" s="56" t="inlineStr">
        <is>
          <t>Fitxa ↗</t>
        </is>
      </c>
      <c r="M408" s="56" t="inlineStr">
        <is>
          <t>Mapa ↗</t>
        </is>
      </c>
      <c r="N408" s="33"/>
      <c r="O408" s="53"/>
    </row>
    <row r="409">
      <c r="A409" s="32" t="inlineStr">
        <is>
          <t>Pui de Cassibrós</t>
        </is>
      </c>
      <c r="B409" s="52" t="n">
        <v>2085</v>
      </c>
      <c r="C409" s="53" t="inlineStr">
        <is>
          <t>Pallars Sobirà</t>
        </is>
      </c>
      <c r="D409" s="53" t="inlineStr">
        <is>
          <t>Pallars Sobirà</t>
        </is>
      </c>
      <c r="E409" s="33" t="inlineStr">
        <is>
          <t>No essencial</t>
        </is>
      </c>
      <c r="F409" s="53" t="n"/>
      <c r="G409" s="33"/>
      <c r="H409" s="54"/>
      <c r="I409" s="53"/>
      <c r="J409" s="55" t="n">
        <v>42.5607</v>
      </c>
      <c r="K409" s="55" t="n">
        <v>1.26486</v>
      </c>
      <c r="L409" s="56" t="inlineStr">
        <is>
          <t>Fitxa ↗</t>
        </is>
      </c>
      <c r="M409" s="56" t="inlineStr">
        <is>
          <t>Mapa ↗</t>
        </is>
      </c>
      <c r="N409" s="33"/>
      <c r="O409" s="53"/>
    </row>
    <row r="410">
      <c r="A410" s="32" t="inlineStr">
        <is>
          <t>Tossal del Puial</t>
        </is>
      </c>
      <c r="B410" s="52" t="n">
        <v>1913</v>
      </c>
      <c r="C410" s="53" t="inlineStr">
        <is>
          <t>Pallars Sobirà</t>
        </is>
      </c>
      <c r="D410" s="53" t="inlineStr">
        <is>
          <t>Pallars Sobirà</t>
        </is>
      </c>
      <c r="E410" s="33" t="inlineStr">
        <is>
          <t>No essencial</t>
        </is>
      </c>
      <c r="F410" s="53" t="n"/>
      <c r="G410" s="33"/>
      <c r="H410" s="54"/>
      <c r="I410" s="53"/>
      <c r="J410" s="55" t="n">
        <v>42.34179</v>
      </c>
      <c r="K410" s="55" t="n">
        <v>1.13303</v>
      </c>
      <c r="L410" s="56" t="inlineStr">
        <is>
          <t>Fitxa ↗</t>
        </is>
      </c>
      <c r="M410" s="56" t="inlineStr">
        <is>
          <t>Mapa ↗</t>
        </is>
      </c>
      <c r="N410" s="33"/>
      <c r="O410" s="53"/>
    </row>
    <row r="411">
      <c r="A411" s="32" t="inlineStr">
        <is>
          <t>Pui Tabaca</t>
        </is>
      </c>
      <c r="B411" s="52" t="n">
        <v>1718</v>
      </c>
      <c r="C411" s="53" t="inlineStr">
        <is>
          <t>Pallars Sobirà</t>
        </is>
      </c>
      <c r="D411" s="53" t="inlineStr">
        <is>
          <t>Pallars Sobirà</t>
        </is>
      </c>
      <c r="E411" s="33" t="inlineStr">
        <is>
          <t>No essencial</t>
        </is>
      </c>
      <c r="F411" s="53" t="n"/>
      <c r="G411" s="33"/>
      <c r="H411" s="54"/>
      <c r="I411" s="53"/>
      <c r="J411" s="55" t="n">
        <v>42.58848</v>
      </c>
      <c r="K411" s="55" t="n">
        <v>1.22311</v>
      </c>
      <c r="L411" s="56" t="inlineStr">
        <is>
          <t>Fitxa ↗</t>
        </is>
      </c>
      <c r="M411" s="56" t="inlineStr">
        <is>
          <t>Mapa ↗</t>
        </is>
      </c>
      <c r="N411" s="33"/>
      <c r="O411" s="53"/>
    </row>
    <row r="412">
      <c r="A412" s="32" t="inlineStr">
        <is>
          <t>Tossal de l’Àliga (la Geganta Adormida)</t>
        </is>
      </c>
      <c r="B412" s="52" t="n">
        <v>1315</v>
      </c>
      <c r="C412" s="53" t="inlineStr">
        <is>
          <t>Pallars Sobirà</t>
        </is>
      </c>
      <c r="D412" s="53" t="inlineStr">
        <is>
          <t>Pallars Sobirà</t>
        </is>
      </c>
      <c r="E412" s="33" t="inlineStr">
        <is>
          <t>No essencial</t>
        </is>
      </c>
      <c r="F412" s="53" t="n"/>
      <c r="G412" s="33"/>
      <c r="H412" s="54"/>
      <c r="I412" s="53"/>
      <c r="J412" s="55" t="n">
        <v>42.29893</v>
      </c>
      <c r="K412" s="55" t="n">
        <v>1.01884</v>
      </c>
      <c r="L412" s="56" t="inlineStr">
        <is>
          <t>Fitxa ↗</t>
        </is>
      </c>
      <c r="M412" s="56" t="inlineStr">
        <is>
          <t>Mapa ↗</t>
        </is>
      </c>
      <c r="N412" s="33"/>
      <c r="O412" s="53"/>
    </row>
    <row r="413">
      <c r="A413" s="32" t="inlineStr">
        <is>
          <t>La Fita Alta</t>
        </is>
      </c>
      <c r="B413" s="52" t="n">
        <v>289</v>
      </c>
      <c r="C413" s="53" t="inlineStr">
        <is>
          <t>Pla d'Urgell</t>
        </is>
      </c>
      <c r="D413" s="53" t="inlineStr">
        <is>
          <t>Pla d'Urgell</t>
        </is>
      </c>
      <c r="E413" s="33" t="inlineStr">
        <is>
          <t>Essencial</t>
        </is>
      </c>
      <c r="F413" s="53" t="n"/>
      <c r="G413" s="33"/>
      <c r="H413" s="54"/>
      <c r="I413" s="53"/>
      <c r="J413" s="55" t="n">
        <v>41.61299</v>
      </c>
      <c r="K413" s="55" t="n">
        <v>0.84312</v>
      </c>
      <c r="L413" s="56" t="inlineStr">
        <is>
          <t>Fitxa ↗</t>
        </is>
      </c>
      <c r="M413" s="56" t="inlineStr">
        <is>
          <t>Mapa ↗</t>
        </is>
      </c>
      <c r="N413" s="33"/>
      <c r="O413" s="53"/>
    </row>
    <row r="414">
      <c r="A414" s="32" t="inlineStr">
        <is>
          <t>Sant Patllari</t>
        </is>
      </c>
      <c r="B414" s="52" t="n">
        <v>646</v>
      </c>
      <c r="C414" s="53" t="inlineStr">
        <is>
          <t>Pla de l'Estany</t>
        </is>
      </c>
      <c r="D414" s="53" t="inlineStr">
        <is>
          <t>Pla de l'Estany</t>
        </is>
      </c>
      <c r="E414" s="33" t="inlineStr">
        <is>
          <t>Essencial</t>
        </is>
      </c>
      <c r="F414" s="53" t="n"/>
      <c r="G414" s="33"/>
      <c r="H414" s="54"/>
      <c r="I414" s="53"/>
      <c r="J414" s="55" t="n">
        <v>42.11208</v>
      </c>
      <c r="K414" s="55" t="n">
        <v>2.71173</v>
      </c>
      <c r="L414" s="56" t="inlineStr">
        <is>
          <t>Fitxa ↗</t>
        </is>
      </c>
      <c r="M414" s="56" t="inlineStr">
        <is>
          <t>Mapa ↗</t>
        </is>
      </c>
      <c r="N414" s="33"/>
      <c r="O414" s="53"/>
    </row>
    <row r="415">
      <c r="A415" s="32" t="inlineStr">
        <is>
          <t>Puig Clarà</t>
        </is>
      </c>
      <c r="B415" s="52" t="n">
        <v>315</v>
      </c>
      <c r="C415" s="53" t="inlineStr">
        <is>
          <t>Pla de l'Estany</t>
        </is>
      </c>
      <c r="D415" s="53" t="inlineStr">
        <is>
          <t>Pla de l'Estany</t>
        </is>
      </c>
      <c r="E415" s="33" t="inlineStr">
        <is>
          <t>No essencial</t>
        </is>
      </c>
      <c r="F415" s="53" t="n"/>
      <c r="G415" s="33"/>
      <c r="H415" s="54"/>
      <c r="I415" s="53"/>
      <c r="J415" s="55" t="n">
        <v>42.13284</v>
      </c>
      <c r="K415" s="55" t="n">
        <v>2.73833</v>
      </c>
      <c r="L415" s="56" t="inlineStr">
        <is>
          <t>Fitxa ↗</t>
        </is>
      </c>
      <c r="M415" s="56" t="inlineStr">
        <is>
          <t>Mapa ↗</t>
        </is>
      </c>
      <c r="N415" s="33"/>
      <c r="O415" s="53"/>
    </row>
    <row r="416">
      <c r="A416" s="32" t="inlineStr">
        <is>
          <t>Roca Corbatera</t>
        </is>
      </c>
      <c r="B416" s="52" t="n">
        <v>1163</v>
      </c>
      <c r="C416" s="53" t="inlineStr">
        <is>
          <t>Priorat</t>
        </is>
      </c>
      <c r="D416" s="53" t="inlineStr">
        <is>
          <t>Priorat</t>
        </is>
      </c>
      <c r="E416" s="33" t="inlineStr">
        <is>
          <t>Essencial</t>
        </is>
      </c>
      <c r="F416" s="53" t="inlineStr">
        <is>
          <t>Priorat</t>
        </is>
      </c>
      <c r="G416" s="33"/>
      <c r="H416" s="54"/>
      <c r="I416" s="53"/>
      <c r="J416" s="55" t="n">
        <v>41.28859</v>
      </c>
      <c r="K416" s="55" t="n">
        <v>0.89123</v>
      </c>
      <c r="L416" s="56" t="inlineStr">
        <is>
          <t>Fitxa ↗</t>
        </is>
      </c>
      <c r="M416" s="56" t="inlineStr">
        <is>
          <t>Mapa ↗</t>
        </is>
      </c>
      <c r="N416" s="33"/>
      <c r="O416" s="53"/>
    </row>
    <row r="417">
      <c r="A417" s="32" t="inlineStr">
        <is>
          <t>La Cogulla (Montsant)</t>
        </is>
      </c>
      <c r="B417" s="52" t="n">
        <v>1062</v>
      </c>
      <c r="C417" s="53" t="inlineStr">
        <is>
          <t>Priorat</t>
        </is>
      </c>
      <c r="D417" s="53" t="inlineStr">
        <is>
          <t>Priorat</t>
        </is>
      </c>
      <c r="E417" s="33" t="inlineStr">
        <is>
          <t>No essencial</t>
        </is>
      </c>
      <c r="F417" s="53" t="n"/>
      <c r="G417" s="33"/>
      <c r="H417" s="54"/>
      <c r="I417" s="53"/>
      <c r="J417" s="55" t="n">
        <v>41.27753</v>
      </c>
      <c r="K417" s="55" t="n">
        <v>0.80567</v>
      </c>
      <c r="L417" s="56" t="inlineStr">
        <is>
          <t>Fitxa ↗</t>
        </is>
      </c>
      <c r="M417" s="56" t="inlineStr">
        <is>
          <t>Mapa ↗</t>
        </is>
      </c>
      <c r="N417" s="33"/>
      <c r="O417" s="53"/>
    </row>
    <row r="418">
      <c r="A418" s="32" t="inlineStr">
        <is>
          <t>Punta dels Pins Carrassers</t>
        </is>
      </c>
      <c r="B418" s="52" t="n">
        <v>1062</v>
      </c>
      <c r="C418" s="53" t="inlineStr">
        <is>
          <t>Priorat</t>
        </is>
      </c>
      <c r="D418" s="53" t="inlineStr">
        <is>
          <t>Priorat</t>
        </is>
      </c>
      <c r="E418" s="33" t="inlineStr">
        <is>
          <t>No essencial</t>
        </is>
      </c>
      <c r="F418" s="53" t="n"/>
      <c r="G418" s="33"/>
      <c r="H418" s="54"/>
      <c r="I418" s="53"/>
      <c r="J418" s="55" t="n">
        <v>41.30563</v>
      </c>
      <c r="K418" s="55" t="n">
        <v>0.8420299999999999</v>
      </c>
      <c r="L418" s="56" t="inlineStr">
        <is>
          <t>Fitxa ↗</t>
        </is>
      </c>
      <c r="M418" s="56" t="inlineStr">
        <is>
          <t>Mapa ↗</t>
        </is>
      </c>
      <c r="N418" s="33"/>
      <c r="O418" s="53"/>
    </row>
    <row r="419">
      <c r="A419" s="32" t="inlineStr">
        <is>
          <t>Montalt (punta nord)</t>
        </is>
      </c>
      <c r="B419" s="52" t="n">
        <v>766</v>
      </c>
      <c r="C419" s="53" t="inlineStr">
        <is>
          <t>Priorat</t>
        </is>
      </c>
      <c r="D419" s="53" t="inlineStr">
        <is>
          <t>Priorat, Ribera d'Ebre</t>
        </is>
      </c>
      <c r="E419" s="33" t="inlineStr">
        <is>
          <t>No essencial</t>
        </is>
      </c>
      <c r="F419" s="53" t="n"/>
      <c r="G419" s="33"/>
      <c r="H419" s="54"/>
      <c r="I419" s="53"/>
      <c r="J419" s="55" t="n">
        <v>41.06833</v>
      </c>
      <c r="K419" s="55" t="n">
        <v>0.80322</v>
      </c>
      <c r="L419" s="56" t="inlineStr">
        <is>
          <t>Fitxa ↗</t>
        </is>
      </c>
      <c r="M419" s="56" t="inlineStr">
        <is>
          <t>Mapa ↗</t>
        </is>
      </c>
      <c r="N419" s="33"/>
      <c r="O419" s="53"/>
    </row>
    <row r="420">
      <c r="A420" s="32" t="inlineStr">
        <is>
          <t>lo Morral</t>
        </is>
      </c>
      <c r="B420" s="52" t="n">
        <v>682</v>
      </c>
      <c r="C420" s="53" t="inlineStr">
        <is>
          <t>Priorat</t>
        </is>
      </c>
      <c r="D420" s="53" t="inlineStr">
        <is>
          <t>Priorat</t>
        </is>
      </c>
      <c r="E420" s="33" t="inlineStr">
        <is>
          <t>No essencial</t>
        </is>
      </c>
      <c r="F420" s="53" t="n"/>
      <c r="G420" s="33"/>
      <c r="H420" s="54"/>
      <c r="I420" s="53"/>
      <c r="J420" s="55" t="n">
        <v>41.1563</v>
      </c>
      <c r="K420" s="55" t="n">
        <v>0.85125</v>
      </c>
      <c r="L420" s="56" t="inlineStr">
        <is>
          <t>Fitxa ↗</t>
        </is>
      </c>
      <c r="M420" s="56" t="inlineStr">
        <is>
          <t>Mapa ↗</t>
        </is>
      </c>
      <c r="N420" s="33"/>
      <c r="O420" s="53"/>
    </row>
    <row r="421">
      <c r="A421" s="32" t="inlineStr">
        <is>
          <t>La Tossa (Tivissa)</t>
        </is>
      </c>
      <c r="B421" s="52" t="n">
        <v>718</v>
      </c>
      <c r="C421" s="53" t="inlineStr">
        <is>
          <t>Ribera d'Ebre</t>
        </is>
      </c>
      <c r="D421" s="53" t="inlineStr">
        <is>
          <t>Ribera d'Ebre</t>
        </is>
      </c>
      <c r="E421" s="33" t="inlineStr">
        <is>
          <t>Essencial</t>
        </is>
      </c>
      <c r="F421" s="53" t="n"/>
      <c r="G421" s="33"/>
      <c r="H421" s="54"/>
      <c r="I421" s="53"/>
      <c r="J421" s="55" t="n">
        <v>41.02895</v>
      </c>
      <c r="K421" s="55" t="n">
        <v>0.73627</v>
      </c>
      <c r="L421" s="56" t="inlineStr">
        <is>
          <t>Fitxa ↗</t>
        </is>
      </c>
      <c r="M421" s="56" t="inlineStr">
        <is>
          <t>Mapa ↗</t>
        </is>
      </c>
      <c r="N421" s="33"/>
      <c r="O421" s="53"/>
    </row>
    <row r="422">
      <c r="A422" s="32" t="inlineStr">
        <is>
          <t>Lo Tormo (Lo piló)</t>
        </is>
      </c>
      <c r="B422" s="52" t="n">
        <v>523</v>
      </c>
      <c r="C422" s="53" t="inlineStr">
        <is>
          <t>Ribera d'Ebre</t>
        </is>
      </c>
      <c r="D422" s="53" t="inlineStr">
        <is>
          <t>Ribera d'Ebre</t>
        </is>
      </c>
      <c r="E422" s="33" t="inlineStr">
        <is>
          <t>Essencial</t>
        </is>
      </c>
      <c r="F422" s="53" t="n"/>
      <c r="G422" s="33"/>
      <c r="H422" s="54"/>
      <c r="I422" s="53"/>
      <c r="J422" s="55" t="n">
        <v>41.17903</v>
      </c>
      <c r="K422" s="55" t="n">
        <v>0.64346</v>
      </c>
      <c r="L422" s="56" t="inlineStr">
        <is>
          <t>Fitxa ↗</t>
        </is>
      </c>
      <c r="M422" s="56" t="inlineStr">
        <is>
          <t>Mapa ↗</t>
        </is>
      </c>
      <c r="N422" s="33"/>
      <c r="O422" s="53"/>
    </row>
    <row r="423">
      <c r="A423" s="32" t="inlineStr">
        <is>
          <t>Coll de Pins</t>
        </is>
      </c>
      <c r="B423" s="52" t="n">
        <v>500</v>
      </c>
      <c r="C423" s="53" t="inlineStr">
        <is>
          <t>Ribera d'Ebre</t>
        </is>
      </c>
      <c r="D423" s="53" t="inlineStr">
        <is>
          <t>Ribera d'Ebre</t>
        </is>
      </c>
      <c r="E423" s="33" t="inlineStr">
        <is>
          <t>No essencial</t>
        </is>
      </c>
      <c r="F423" s="53" t="n"/>
      <c r="G423" s="33"/>
      <c r="H423" s="54"/>
      <c r="I423" s="53"/>
      <c r="J423" s="55" t="n">
        <v>40.98741</v>
      </c>
      <c r="K423" s="55" t="n">
        <v>0.59357</v>
      </c>
      <c r="L423" s="56" t="inlineStr">
        <is>
          <t>Fitxa ↗</t>
        </is>
      </c>
      <c r="M423" s="56" t="inlineStr">
        <is>
          <t>Mapa ↗</t>
        </is>
      </c>
      <c r="N423" s="33"/>
      <c r="O423" s="53"/>
    </row>
    <row r="424">
      <c r="A424" s="32" t="inlineStr">
        <is>
          <t>La Picossa</t>
        </is>
      </c>
      <c r="B424" s="52" t="n">
        <v>499</v>
      </c>
      <c r="C424" s="53" t="inlineStr">
        <is>
          <t>Ribera d'Ebre</t>
        </is>
      </c>
      <c r="D424" s="53" t="inlineStr">
        <is>
          <t>Ribera d'Ebre</t>
        </is>
      </c>
      <c r="E424" s="33" t="inlineStr">
        <is>
          <t>Essencial</t>
        </is>
      </c>
      <c r="F424" s="53" t="n"/>
      <c r="G424" s="33"/>
      <c r="H424" s="54"/>
      <c r="I424" s="53"/>
      <c r="J424" s="55" t="n">
        <v>41.10941</v>
      </c>
      <c r="K424" s="55" t="n">
        <v>0.57642</v>
      </c>
      <c r="L424" s="56" t="inlineStr">
        <is>
          <t>Fitxa ↗</t>
        </is>
      </c>
      <c r="M424" s="56" t="inlineStr">
        <is>
          <t>Mapa ↗</t>
        </is>
      </c>
      <c r="N424" s="33"/>
      <c r="O424" s="53"/>
    </row>
    <row r="425">
      <c r="A425" s="32" t="inlineStr">
        <is>
          <t>Pic de l’Àguila</t>
        </is>
      </c>
      <c r="B425" s="52" t="n">
        <v>492</v>
      </c>
      <c r="C425" s="53" t="inlineStr">
        <is>
          <t>Ribera d'Ebre</t>
        </is>
      </c>
      <c r="D425" s="53" t="inlineStr">
        <is>
          <t>Ribera d'Ebre</t>
        </is>
      </c>
      <c r="E425" s="33" t="inlineStr">
        <is>
          <t>No essencial</t>
        </is>
      </c>
      <c r="F425" s="53" t="n"/>
      <c r="G425" s="33"/>
      <c r="H425" s="54"/>
      <c r="I425" s="53"/>
      <c r="J425" s="55" t="n">
        <v>41.1399</v>
      </c>
      <c r="K425" s="55" t="n">
        <v>0.60219</v>
      </c>
      <c r="L425" s="56" t="inlineStr">
        <is>
          <t>Fitxa ↗</t>
        </is>
      </c>
      <c r="M425" s="56" t="inlineStr">
        <is>
          <t>Mapa ↗</t>
        </is>
      </c>
      <c r="N425" s="33"/>
      <c r="O425" s="53"/>
    </row>
    <row r="426">
      <c r="A426" s="32" t="inlineStr">
        <is>
          <t>les Càrcoles</t>
        </is>
      </c>
      <c r="B426" s="52" t="n">
        <v>425</v>
      </c>
      <c r="C426" s="53" t="inlineStr">
        <is>
          <t>Ribera d'Ebre</t>
        </is>
      </c>
      <c r="D426" s="53" t="inlineStr">
        <is>
          <t>Ribera d'Ebre</t>
        </is>
      </c>
      <c r="E426" s="33" t="inlineStr">
        <is>
          <t>No essencial</t>
        </is>
      </c>
      <c r="F426" s="53" t="n"/>
      <c r="G426" s="33"/>
      <c r="H426" s="54"/>
      <c r="I426" s="53"/>
      <c r="J426" s="55" t="n">
        <v>41.03592</v>
      </c>
      <c r="K426" s="55" t="n">
        <v>0.67957</v>
      </c>
      <c r="L426" s="56" t="inlineStr">
        <is>
          <t>Fitxa ↗</t>
        </is>
      </c>
      <c r="M426" s="56" t="inlineStr">
        <is>
          <t>Mapa ↗</t>
        </is>
      </c>
      <c r="N426" s="33"/>
      <c r="O426" s="53"/>
    </row>
    <row r="427">
      <c r="A427" s="32" t="inlineStr">
        <is>
          <t>l’Àliga (Mola del Broi)</t>
        </is>
      </c>
      <c r="B427" s="52" t="n">
        <v>383</v>
      </c>
      <c r="C427" s="53" t="inlineStr">
        <is>
          <t>Ribera d'Ebre</t>
        </is>
      </c>
      <c r="D427" s="53" t="inlineStr">
        <is>
          <t>Ribera d'Ebre, Terra Alta</t>
        </is>
      </c>
      <c r="E427" s="33" t="inlineStr">
        <is>
          <t>No essencial</t>
        </is>
      </c>
      <c r="F427" s="53" t="n"/>
      <c r="G427" s="33"/>
      <c r="H427" s="54"/>
      <c r="I427" s="53"/>
      <c r="J427" s="55" t="n">
        <v>41.02771</v>
      </c>
      <c r="K427" s="55" t="n">
        <v>0.55791</v>
      </c>
      <c r="L427" s="56" t="inlineStr">
        <is>
          <t>Fitxa ↗</t>
        </is>
      </c>
      <c r="M427" s="56" t="inlineStr">
        <is>
          <t>Mapa ↗</t>
        </is>
      </c>
      <c r="N427" s="33"/>
      <c r="O427" s="53"/>
    </row>
    <row r="428">
      <c r="A428" s="32" t="inlineStr">
        <is>
          <t>Gra de Fajol</t>
        </is>
      </c>
      <c r="B428" s="52" t="n">
        <v>2714</v>
      </c>
      <c r="C428" s="53" t="inlineStr">
        <is>
          <t>Ripollès</t>
        </is>
      </c>
      <c r="D428" s="53" t="inlineStr">
        <is>
          <t>Ripollès</t>
        </is>
      </c>
      <c r="E428" s="33" t="inlineStr">
        <is>
          <t>No essencial</t>
        </is>
      </c>
      <c r="F428" s="53" t="n"/>
      <c r="G428" s="33"/>
      <c r="H428" s="54"/>
      <c r="I428" s="53"/>
      <c r="J428" s="55" t="n">
        <v>42.41548</v>
      </c>
      <c r="K428" s="55" t="n">
        <v>2.24776</v>
      </c>
      <c r="L428" s="56" t="inlineStr">
        <is>
          <t>Fitxa ↗</t>
        </is>
      </c>
      <c r="M428" s="56" t="inlineStr">
        <is>
          <t>Mapa ↗</t>
        </is>
      </c>
      <c r="N428" s="33"/>
      <c r="O428" s="53"/>
    </row>
    <row r="429">
      <c r="A429" s="32" t="inlineStr">
        <is>
          <t>Torreneules</t>
        </is>
      </c>
      <c r="B429" s="52" t="n">
        <v>2713</v>
      </c>
      <c r="C429" s="53" t="inlineStr">
        <is>
          <t>Ripollès</t>
        </is>
      </c>
      <c r="D429" s="53" t="inlineStr">
        <is>
          <t>Ripollès</t>
        </is>
      </c>
      <c r="E429" s="33" t="inlineStr">
        <is>
          <t>No essencial</t>
        </is>
      </c>
      <c r="F429" s="53" t="n"/>
      <c r="G429" s="33"/>
      <c r="H429" s="54"/>
      <c r="I429" s="53"/>
      <c r="J429" s="55" t="n">
        <v>42.39088</v>
      </c>
      <c r="K429" s="55" t="n">
        <v>2.1962</v>
      </c>
      <c r="L429" s="56" t="inlineStr">
        <is>
          <t>Fitxa ↗</t>
        </is>
      </c>
      <c r="M429" s="56" t="inlineStr">
        <is>
          <t>Mapa ↗</t>
        </is>
      </c>
      <c r="N429" s="33"/>
      <c r="O429" s="53"/>
    </row>
    <row r="430">
      <c r="A430" s="32" t="inlineStr">
        <is>
          <t>Les Borregues</t>
        </is>
      </c>
      <c r="B430" s="52" t="n">
        <v>2693</v>
      </c>
      <c r="C430" s="53" t="inlineStr">
        <is>
          <t>Ripollès</t>
        </is>
      </c>
      <c r="D430" s="53" t="inlineStr">
        <is>
          <t>Ripollès</t>
        </is>
      </c>
      <c r="E430" s="33" t="inlineStr">
        <is>
          <t>No essencial</t>
        </is>
      </c>
      <c r="F430" s="53" t="n"/>
      <c r="G430" s="33"/>
      <c r="H430" s="54"/>
      <c r="I430" s="53"/>
      <c r="J430" s="55" t="n">
        <v>42.39632</v>
      </c>
      <c r="K430" s="55" t="n">
        <v>2.24772</v>
      </c>
      <c r="L430" s="56" t="inlineStr">
        <is>
          <t>Fitxa ↗</t>
        </is>
      </c>
      <c r="M430" s="56" t="inlineStr">
        <is>
          <t>Mapa ↗</t>
        </is>
      </c>
      <c r="N430" s="33"/>
      <c r="O430" s="53"/>
    </row>
    <row r="431">
      <c r="A431" s="32" t="inlineStr">
        <is>
          <t>Balandrau</t>
        </is>
      </c>
      <c r="B431" s="52" t="n">
        <v>2585</v>
      </c>
      <c r="C431" s="53" t="inlineStr">
        <is>
          <t>Ripollès</t>
        </is>
      </c>
      <c r="D431" s="53" t="inlineStr">
        <is>
          <t>Ripollès</t>
        </is>
      </c>
      <c r="E431" s="33" t="inlineStr">
        <is>
          <t>Essencial</t>
        </is>
      </c>
      <c r="F431" s="53" t="n"/>
      <c r="G431" s="33"/>
      <c r="H431" s="54"/>
      <c r="I431" s="53"/>
      <c r="J431" s="55" t="n">
        <v>42.37011</v>
      </c>
      <c r="K431" s="55" t="n">
        <v>2.21957</v>
      </c>
      <c r="L431" s="56" t="inlineStr">
        <is>
          <t>Fitxa ↗</t>
        </is>
      </c>
      <c r="M431" s="56" t="inlineStr">
        <is>
          <t>Mapa ↗</t>
        </is>
      </c>
      <c r="N431" s="33"/>
      <c r="O431" s="53"/>
    </row>
    <row r="432">
      <c r="A432" s="32" t="inlineStr">
        <is>
          <t>Costabona</t>
        </is>
      </c>
      <c r="B432" s="52" t="n">
        <v>2465</v>
      </c>
      <c r="C432" s="53" t="inlineStr">
        <is>
          <t>Ripollès</t>
        </is>
      </c>
      <c r="D432" s="53" t="inlineStr">
        <is>
          <t>Ripollès, Vallespir</t>
        </is>
      </c>
      <c r="E432" s="33" t="inlineStr">
        <is>
          <t>Essencial</t>
        </is>
      </c>
      <c r="F432" s="53" t="n"/>
      <c r="G432" s="33"/>
      <c r="H432" s="54"/>
      <c r="I432" s="53"/>
      <c r="J432" s="55" t="n">
        <v>42.4169</v>
      </c>
      <c r="K432" s="55" t="n">
        <v>2.34392</v>
      </c>
      <c r="L432" s="56" t="inlineStr">
        <is>
          <t>Fitxa ↗</t>
        </is>
      </c>
      <c r="M432" s="56" t="inlineStr">
        <is>
          <t>Mapa ↗</t>
        </is>
      </c>
      <c r="N432" s="33"/>
      <c r="O432" s="53"/>
    </row>
    <row r="433">
      <c r="A433" s="32" t="inlineStr">
        <is>
          <t>Costa Pubilla o Pla de Pujalts</t>
        </is>
      </c>
      <c r="B433" s="52" t="n">
        <v>2056</v>
      </c>
      <c r="C433" s="53" t="inlineStr">
        <is>
          <t>Ripollès</t>
        </is>
      </c>
      <c r="D433" s="53" t="inlineStr">
        <is>
          <t>Ripollès</t>
        </is>
      </c>
      <c r="E433" s="33" t="inlineStr">
        <is>
          <t>Essencial</t>
        </is>
      </c>
      <c r="F433" s="53" t="n"/>
      <c r="G433" s="33"/>
      <c r="H433" s="54"/>
      <c r="I433" s="53"/>
      <c r="J433" s="55" t="n">
        <v>42.28572</v>
      </c>
      <c r="K433" s="55" t="n">
        <v>2.08066</v>
      </c>
      <c r="L433" s="56" t="inlineStr">
        <is>
          <t>Fitxa ↗</t>
        </is>
      </c>
      <c r="M433" s="56" t="inlineStr">
        <is>
          <t>Mapa ↗</t>
        </is>
      </c>
      <c r="N433" s="33"/>
      <c r="O433" s="53"/>
    </row>
    <row r="434">
      <c r="A434" s="32" t="inlineStr">
        <is>
          <t>Taga</t>
        </is>
      </c>
      <c r="B434" s="52" t="n">
        <v>2040</v>
      </c>
      <c r="C434" s="53" t="inlineStr">
        <is>
          <t>Ripollès</t>
        </is>
      </c>
      <c r="D434" s="53" t="inlineStr">
        <is>
          <t>Ripollès</t>
        </is>
      </c>
      <c r="E434" s="33" t="inlineStr">
        <is>
          <t>Essencial</t>
        </is>
      </c>
      <c r="F434" s="53" t="n"/>
      <c r="G434" s="33"/>
      <c r="H434" s="54"/>
      <c r="I434" s="53"/>
      <c r="J434" s="55" t="n">
        <v>42.28077</v>
      </c>
      <c r="K434" s="55" t="n">
        <v>2.20989</v>
      </c>
      <c r="L434" s="56" t="inlineStr">
        <is>
          <t>Fitxa ↗</t>
        </is>
      </c>
      <c r="M434" s="56" t="inlineStr">
        <is>
          <t>Mapa ↗</t>
        </is>
      </c>
      <c r="N434" s="33"/>
      <c r="O434" s="53"/>
    </row>
    <row r="435">
      <c r="A435" s="32" t="inlineStr">
        <is>
          <t>Puig Estela</t>
        </is>
      </c>
      <c r="B435" s="52" t="n">
        <v>2013</v>
      </c>
      <c r="C435" s="53" t="inlineStr">
        <is>
          <t>Ripollès</t>
        </is>
      </c>
      <c r="D435" s="53" t="inlineStr">
        <is>
          <t>Ripollès</t>
        </is>
      </c>
      <c r="E435" s="33" t="inlineStr">
        <is>
          <t>No essencial</t>
        </is>
      </c>
      <c r="F435" s="53" t="n"/>
      <c r="G435" s="33"/>
      <c r="H435" s="54"/>
      <c r="I435" s="53"/>
      <c r="J435" s="55" t="n">
        <v>42.2843</v>
      </c>
      <c r="K435" s="55" t="n">
        <v>2.25399</v>
      </c>
      <c r="L435" s="56" t="inlineStr">
        <is>
          <t>Fitxa ↗</t>
        </is>
      </c>
      <c r="M435" s="56" t="inlineStr">
        <is>
          <t>Mapa ↗</t>
        </is>
      </c>
      <c r="N435" s="33"/>
      <c r="O435" s="53"/>
    </row>
    <row r="436">
      <c r="A436" s="32" t="inlineStr">
        <is>
          <t>Puig de les Agudes</t>
        </is>
      </c>
      <c r="B436" s="52" t="n">
        <v>1976</v>
      </c>
      <c r="C436" s="53" t="inlineStr">
        <is>
          <t>Ripollès</t>
        </is>
      </c>
      <c r="D436" s="53" t="inlineStr">
        <is>
          <t>Ripollès</t>
        </is>
      </c>
      <c r="E436" s="33" t="inlineStr">
        <is>
          <t>No essencial</t>
        </is>
      </c>
      <c r="F436" s="53" t="n"/>
      <c r="G436" s="33"/>
      <c r="H436" s="54"/>
      <c r="I436" s="53"/>
      <c r="J436" s="55" t="n">
        <v>42.36338</v>
      </c>
      <c r="K436" s="55" t="n">
        <v>2.31874</v>
      </c>
      <c r="L436" s="56" t="inlineStr">
        <is>
          <t>Fitxa ↗</t>
        </is>
      </c>
      <c r="M436" s="56" t="inlineStr">
        <is>
          <t>Mapa ↗</t>
        </is>
      </c>
      <c r="N436" s="33"/>
      <c r="O436" s="53"/>
    </row>
    <row r="437">
      <c r="A437" s="32" t="inlineStr">
        <is>
          <t>Sant Antoni</t>
        </is>
      </c>
      <c r="B437" s="52" t="n">
        <v>1361</v>
      </c>
      <c r="C437" s="53" t="inlineStr">
        <is>
          <t>Ripollès</t>
        </is>
      </c>
      <c r="D437" s="53" t="inlineStr">
        <is>
          <t>Ripollès</t>
        </is>
      </c>
      <c r="E437" s="33" t="inlineStr">
        <is>
          <t>No essencial</t>
        </is>
      </c>
      <c r="F437" s="53" t="n"/>
      <c r="G437" s="33"/>
      <c r="H437" s="54"/>
      <c r="I437" s="53"/>
      <c r="J437" s="55" t="n">
        <v>42.30512</v>
      </c>
      <c r="K437" s="55" t="n">
        <v>2.37595</v>
      </c>
      <c r="L437" s="56" t="inlineStr">
        <is>
          <t>Fitxa ↗</t>
        </is>
      </c>
      <c r="M437" s="56" t="inlineStr">
        <is>
          <t>Mapa ↗</t>
        </is>
      </c>
      <c r="N437" s="33"/>
      <c r="O437" s="53"/>
    </row>
    <row r="438">
      <c r="A438" s="32" t="inlineStr">
        <is>
          <t>Puig Cornador</t>
        </is>
      </c>
      <c r="B438" s="52" t="n">
        <v>1229</v>
      </c>
      <c r="C438" s="53" t="inlineStr">
        <is>
          <t>Ripollès</t>
        </is>
      </c>
      <c r="D438" s="53" t="inlineStr">
        <is>
          <t>Ripollès</t>
        </is>
      </c>
      <c r="E438" s="33" t="inlineStr">
        <is>
          <t>No essencial</t>
        </is>
      </c>
      <c r="F438" s="53" t="n"/>
      <c r="G438" s="33"/>
      <c r="H438" s="54"/>
      <c r="I438" s="53"/>
      <c r="J438" s="55" t="n">
        <v>42.13974</v>
      </c>
      <c r="K438" s="55" t="n">
        <v>2.10834</v>
      </c>
      <c r="L438" s="56" t="inlineStr">
        <is>
          <t>Fitxa ↗</t>
        </is>
      </c>
      <c r="M438" s="56" t="inlineStr">
        <is>
          <t>Mapa ↗</t>
        </is>
      </c>
      <c r="N438" s="33"/>
      <c r="O438" s="53"/>
    </row>
    <row r="439">
      <c r="A439" s="32" t="inlineStr">
        <is>
          <t>Puig de Bestracà</t>
        </is>
      </c>
      <c r="B439" s="52" t="n">
        <v>1056</v>
      </c>
      <c r="C439" s="53" t="inlineStr">
        <is>
          <t>Ripollès</t>
        </is>
      </c>
      <c r="D439" s="53" t="inlineStr">
        <is>
          <t>Ripollès</t>
        </is>
      </c>
      <c r="E439" s="33" t="inlineStr">
        <is>
          <t>No essencial</t>
        </is>
      </c>
      <c r="F439" s="53" t="n"/>
      <c r="G439" s="33"/>
      <c r="H439" s="54"/>
      <c r="I439" s="53"/>
      <c r="J439" s="55" t="n">
        <v>42.29431</v>
      </c>
      <c r="K439" s="55" t="n">
        <v>2.51542</v>
      </c>
      <c r="L439" s="56" t="inlineStr">
        <is>
          <t>Fitxa ↗</t>
        </is>
      </c>
      <c r="M439" s="56" t="inlineStr">
        <is>
          <t>Mapa ↗</t>
        </is>
      </c>
      <c r="N439" s="33"/>
      <c r="O439" s="53"/>
    </row>
    <row r="440">
      <c r="A440" s="32" t="inlineStr">
        <is>
          <t>Puig de Sant Cristau</t>
        </is>
      </c>
      <c r="B440" s="52" t="n">
        <v>1015</v>
      </c>
      <c r="C440" s="53" t="inlineStr">
        <is>
          <t>Rosselló</t>
        </is>
      </c>
      <c r="D440" s="53" t="inlineStr">
        <is>
          <t>Rosselló, Vallespir</t>
        </is>
      </c>
      <c r="E440" s="33" t="inlineStr">
        <is>
          <t>No essencial</t>
        </is>
      </c>
      <c r="F440" s="53" t="n"/>
      <c r="G440" s="33"/>
      <c r="H440" s="54"/>
      <c r="I440" s="53"/>
      <c r="J440" s="55" t="n">
        <v>42.49202</v>
      </c>
      <c r="K440" s="55" t="n">
        <v>2.8907</v>
      </c>
      <c r="L440" s="56" t="inlineStr">
        <is>
          <t>Fitxa ↗</t>
        </is>
      </c>
      <c r="M440" s="56" t="inlineStr">
        <is>
          <t>Mapa ↗</t>
        </is>
      </c>
      <c r="N440" s="33"/>
      <c r="O440" s="53"/>
    </row>
    <row r="441">
      <c r="A441" s="32" t="inlineStr">
        <is>
          <t>Torre de la Maçana</t>
        </is>
      </c>
      <c r="B441" s="52" t="n">
        <v>794</v>
      </c>
      <c r="C441" s="53" t="inlineStr">
        <is>
          <t>Rosselló</t>
        </is>
      </c>
      <c r="D441" s="53" t="inlineStr">
        <is>
          <t>Rosselló</t>
        </is>
      </c>
      <c r="E441" s="33" t="inlineStr">
        <is>
          <t>No essencial</t>
        </is>
      </c>
      <c r="F441" s="53" t="n"/>
      <c r="G441" s="33"/>
      <c r="H441" s="54"/>
      <c r="I441" s="53"/>
      <c r="J441" s="55" t="n">
        <v>42.49817</v>
      </c>
      <c r="K441" s="55" t="n">
        <v>3.02633</v>
      </c>
      <c r="L441" s="56" t="inlineStr">
        <is>
          <t>Fitxa ↗</t>
        </is>
      </c>
      <c r="M441" s="56" t="inlineStr">
        <is>
          <t>Mapa ↗</t>
        </is>
      </c>
      <c r="N441" s="33"/>
      <c r="O441" s="53"/>
    </row>
    <row r="442">
      <c r="A442" s="32" t="inlineStr">
        <is>
          <t>Montolier de Perellós</t>
        </is>
      </c>
      <c r="B442" s="52" t="n">
        <v>707</v>
      </c>
      <c r="C442" s="53" t="inlineStr">
        <is>
          <t>Rosselló</t>
        </is>
      </c>
      <c r="D442" s="53" t="inlineStr">
        <is>
          <t>Rosselló</t>
        </is>
      </c>
      <c r="E442" s="33" t="inlineStr">
        <is>
          <t>No essencial</t>
        </is>
      </c>
      <c r="F442" s="53" t="n"/>
      <c r="G442" s="33"/>
      <c r="H442" s="54"/>
      <c r="I442" s="53"/>
      <c r="J442" s="55" t="n">
        <v>42.91852</v>
      </c>
      <c r="K442" s="55" t="n">
        <v>2.86519</v>
      </c>
      <c r="L442" s="56" t="inlineStr">
        <is>
          <t>Fitxa ↗</t>
        </is>
      </c>
      <c r="M442" s="56" t="inlineStr">
        <is>
          <t>Mapa ↗</t>
        </is>
      </c>
      <c r="N442" s="33"/>
      <c r="O442" s="53"/>
    </row>
    <row r="443">
      <c r="A443" s="32" t="inlineStr">
        <is>
          <t>Torre de Madeloc</t>
        </is>
      </c>
      <c r="B443" s="52" t="n">
        <v>656</v>
      </c>
      <c r="C443" s="53" t="inlineStr">
        <is>
          <t>Rosselló</t>
        </is>
      </c>
      <c r="D443" s="53" t="inlineStr">
        <is>
          <t>Rosselló</t>
        </is>
      </c>
      <c r="E443" s="33" t="inlineStr">
        <is>
          <t>Essencial</t>
        </is>
      </c>
      <c r="F443" s="53" t="n"/>
      <c r="G443" s="33"/>
      <c r="H443" s="54"/>
      <c r="I443" s="53"/>
      <c r="J443" s="55" t="n">
        <v>42.49043</v>
      </c>
      <c r="K443" s="55" t="n">
        <v>3.07512</v>
      </c>
      <c r="L443" s="56" t="inlineStr">
        <is>
          <t>Fitxa ↗</t>
        </is>
      </c>
      <c r="M443" s="56" t="inlineStr">
        <is>
          <t>Mapa ↗</t>
        </is>
      </c>
      <c r="N443" s="33"/>
      <c r="O443" s="53"/>
    </row>
    <row r="444">
      <c r="A444" s="32" t="inlineStr">
        <is>
          <t>la Serra (Vingrau)</t>
        </is>
      </c>
      <c r="B444" s="52" t="n">
        <v>576</v>
      </c>
      <c r="C444" s="53" t="inlineStr">
        <is>
          <t>Rosselló</t>
        </is>
      </c>
      <c r="D444" s="53" t="inlineStr">
        <is>
          <t>Rosselló</t>
        </is>
      </c>
      <c r="E444" s="33" t="inlineStr">
        <is>
          <t>No essencial</t>
        </is>
      </c>
      <c r="F444" s="53" t="n"/>
      <c r="G444" s="33"/>
      <c r="H444" s="54"/>
      <c r="I444" s="53"/>
      <c r="J444" s="55" t="n">
        <v>42.86568</v>
      </c>
      <c r="K444" s="55" t="n">
        <v>2.79376</v>
      </c>
      <c r="L444" s="56" t="inlineStr">
        <is>
          <t>Fitxa ↗</t>
        </is>
      </c>
      <c r="M444" s="56" t="inlineStr">
        <is>
          <t>Mapa ↗</t>
        </is>
      </c>
      <c r="N444" s="33"/>
      <c r="O444" s="53"/>
    </row>
    <row r="445">
      <c r="A445" s="32" t="inlineStr">
        <is>
          <t>Sant Martí de la Roca</t>
        </is>
      </c>
      <c r="B445" s="52" t="n">
        <v>522</v>
      </c>
      <c r="C445" s="53" t="inlineStr">
        <is>
          <t>Rosselló</t>
        </is>
      </c>
      <c r="D445" s="53" t="inlineStr">
        <is>
          <t>Rosselló</t>
        </is>
      </c>
      <c r="E445" s="33" t="inlineStr">
        <is>
          <t>No essencial</t>
        </is>
      </c>
      <c r="F445" s="53" t="n"/>
      <c r="G445" s="33"/>
      <c r="H445" s="54"/>
      <c r="I445" s="53"/>
      <c r="J445" s="55" t="n">
        <v>42.62474</v>
      </c>
      <c r="K445" s="55" t="n">
        <v>2.678</v>
      </c>
      <c r="L445" s="56" t="inlineStr">
        <is>
          <t>Fitxa ↗</t>
        </is>
      </c>
      <c r="M445" s="56" t="inlineStr">
        <is>
          <t>Mapa ↗</t>
        </is>
      </c>
      <c r="N445" s="33"/>
      <c r="O445" s="53"/>
    </row>
    <row r="446">
      <c r="A446" s="32" t="inlineStr">
        <is>
          <t>Força Real</t>
        </is>
      </c>
      <c r="B446" s="52" t="n">
        <v>507</v>
      </c>
      <c r="C446" s="53" t="inlineStr">
        <is>
          <t>Rosselló</t>
        </is>
      </c>
      <c r="D446" s="53" t="inlineStr">
        <is>
          <t>Rosselló</t>
        </is>
      </c>
      <c r="E446" s="33" t="inlineStr">
        <is>
          <t>No essencial</t>
        </is>
      </c>
      <c r="F446" s="53" t="n"/>
      <c r="G446" s="33"/>
      <c r="H446" s="54"/>
      <c r="I446" s="53"/>
      <c r="J446" s="55" t="n">
        <v>42.72692</v>
      </c>
      <c r="K446" s="55" t="n">
        <v>2.70023</v>
      </c>
      <c r="L446" s="56" t="inlineStr">
        <is>
          <t>Fitxa ↗</t>
        </is>
      </c>
      <c r="M446" s="56" t="inlineStr">
        <is>
          <t>Mapa ↗</t>
        </is>
      </c>
      <c r="N446" s="33"/>
      <c r="O446" s="53"/>
    </row>
    <row r="447">
      <c r="A447" s="32" t="inlineStr">
        <is>
          <t>Torre del Far</t>
        </is>
      </c>
      <c r="B447" s="52" t="n">
        <v>498</v>
      </c>
      <c r="C447" s="53" t="inlineStr">
        <is>
          <t>Rosselló</t>
        </is>
      </c>
      <c r="D447" s="53" t="inlineStr">
        <is>
          <t>Rosselló</t>
        </is>
      </c>
      <c r="E447" s="33" t="inlineStr">
        <is>
          <t>No essencial</t>
        </is>
      </c>
      <c r="F447" s="53" t="n"/>
      <c r="G447" s="33"/>
      <c r="H447" s="54"/>
      <c r="I447" s="53"/>
      <c r="J447" s="55" t="n">
        <v>42.80541</v>
      </c>
      <c r="K447" s="55" t="n">
        <v>2.76181</v>
      </c>
      <c r="L447" s="56" t="inlineStr">
        <is>
          <t>Fitxa ↗</t>
        </is>
      </c>
      <c r="M447" s="56" t="inlineStr">
        <is>
          <t>Mapa ↗</t>
        </is>
      </c>
      <c r="N447" s="33"/>
      <c r="O447" s="53"/>
    </row>
    <row r="448">
      <c r="A448" s="32" t="inlineStr">
        <is>
          <t>Roc de Mallorca</t>
        </is>
      </c>
      <c r="B448" s="52" t="n">
        <v>443</v>
      </c>
      <c r="C448" s="53" t="inlineStr">
        <is>
          <t>Rosselló</t>
        </is>
      </c>
      <c r="D448" s="53" t="inlineStr">
        <is>
          <t>Rosselló</t>
        </is>
      </c>
      <c r="E448" s="33" t="inlineStr">
        <is>
          <t>No essencial</t>
        </is>
      </c>
      <c r="F448" s="53" t="n"/>
      <c r="G448" s="33"/>
      <c r="H448" s="54"/>
      <c r="I448" s="53"/>
      <c r="J448" s="55" t="n">
        <v>42.616</v>
      </c>
      <c r="K448" s="55" t="n">
        <v>2.7056</v>
      </c>
      <c r="L448" s="56" t="inlineStr">
        <is>
          <t>Fitxa ↗</t>
        </is>
      </c>
      <c r="M448" s="56" t="inlineStr">
        <is>
          <t>Mapa ↗</t>
        </is>
      </c>
      <c r="N448" s="33"/>
      <c r="O448" s="53"/>
    </row>
    <row r="449">
      <c r="A449" s="32" t="inlineStr">
        <is>
          <t>Tossal de Suró</t>
        </is>
      </c>
      <c r="B449" s="52" t="n">
        <v>828</v>
      </c>
      <c r="C449" s="53" t="inlineStr">
        <is>
          <t>Segarra</t>
        </is>
      </c>
      <c r="D449" s="53" t="inlineStr">
        <is>
          <t>Segarra</t>
        </is>
      </c>
      <c r="E449" s="33" t="inlineStr">
        <is>
          <t>No essencial</t>
        </is>
      </c>
      <c r="F449" s="53" t="n"/>
      <c r="G449" s="33"/>
      <c r="H449" s="54"/>
      <c r="I449" s="53"/>
      <c r="J449" s="55" t="n">
        <v>41.57278</v>
      </c>
      <c r="K449" s="55" t="n">
        <v>1.30492</v>
      </c>
      <c r="L449" s="56" t="inlineStr">
        <is>
          <t>Fitxa ↗</t>
        </is>
      </c>
      <c r="M449" s="56" t="inlineStr">
        <is>
          <t>Mapa ↗</t>
        </is>
      </c>
      <c r="N449" s="33"/>
      <c r="O449" s="53"/>
    </row>
    <row r="450">
      <c r="A450" s="32" t="inlineStr">
        <is>
          <t>Tossal de la Creu</t>
        </is>
      </c>
      <c r="B450" s="52" t="n">
        <v>658</v>
      </c>
      <c r="C450" s="53" t="inlineStr">
        <is>
          <t>Segarra</t>
        </is>
      </c>
      <c r="D450" s="53" t="inlineStr">
        <is>
          <t>Segarra</t>
        </is>
      </c>
      <c r="E450" s="33" t="inlineStr">
        <is>
          <t>Essencial</t>
        </is>
      </c>
      <c r="F450" s="53" t="n"/>
      <c r="G450" s="33"/>
      <c r="H450" s="54"/>
      <c r="I450" s="53"/>
      <c r="J450" s="55" t="n">
        <v>41.84656</v>
      </c>
      <c r="K450" s="55" t="n">
        <v>1.40207</v>
      </c>
      <c r="L450" s="56" t="inlineStr">
        <is>
          <t>Fitxa ↗</t>
        </is>
      </c>
      <c r="M450" s="56" t="inlineStr">
        <is>
          <t>Mapa ↗</t>
        </is>
      </c>
      <c r="N450" s="33"/>
      <c r="O450" s="53"/>
    </row>
    <row r="451">
      <c r="A451" s="32" t="inlineStr">
        <is>
          <t>Tossal del Mas de Nadal</t>
        </is>
      </c>
      <c r="B451" s="52" t="n">
        <v>526</v>
      </c>
      <c r="C451" s="53" t="inlineStr">
        <is>
          <t>Segarra</t>
        </is>
      </c>
      <c r="D451" s="53" t="inlineStr">
        <is>
          <t>Segarra</t>
        </is>
      </c>
      <c r="E451" s="33" t="inlineStr">
        <is>
          <t>No essencial</t>
        </is>
      </c>
      <c r="F451" s="53" t="n"/>
      <c r="G451" s="33"/>
      <c r="H451" s="54"/>
      <c r="I451" s="53"/>
      <c r="J451" s="55" t="n">
        <v>41.82556</v>
      </c>
      <c r="K451" s="55" t="n">
        <v>1.31735</v>
      </c>
      <c r="L451" s="56" t="inlineStr">
        <is>
          <t>Fitxa ↗</t>
        </is>
      </c>
      <c r="M451" s="56" t="inlineStr">
        <is>
          <t>Mapa ↗</t>
        </is>
      </c>
      <c r="N451" s="33"/>
      <c r="O451" s="53"/>
    </row>
    <row r="452">
      <c r="A452" s="32" t="inlineStr">
        <is>
          <t>Punta de Montmeneu</t>
        </is>
      </c>
      <c r="B452" s="52" t="n">
        <v>495</v>
      </c>
      <c r="C452" s="53" t="inlineStr">
        <is>
          <t>Segrià</t>
        </is>
      </c>
      <c r="D452" s="53" t="inlineStr">
        <is>
          <t>Segrià</t>
        </is>
      </c>
      <c r="E452" s="33" t="inlineStr">
        <is>
          <t>Essencial</t>
        </is>
      </c>
      <c r="F452" s="53" t="n"/>
      <c r="G452" s="33"/>
      <c r="H452" s="54"/>
      <c r="I452" s="53"/>
      <c r="J452" s="55" t="n">
        <v>41.38871</v>
      </c>
      <c r="K452" s="55" t="n">
        <v>0.40139</v>
      </c>
      <c r="L452" s="56" t="inlineStr">
        <is>
          <t>Fitxa ↗</t>
        </is>
      </c>
      <c r="M452" s="56" t="inlineStr">
        <is>
          <t>Mapa ↗</t>
        </is>
      </c>
      <c r="N452" s="33"/>
      <c r="O452" s="53"/>
    </row>
    <row r="453">
      <c r="A453" s="32" t="inlineStr">
        <is>
          <t>Tossal Gros d’Almatret</t>
        </is>
      </c>
      <c r="B453" s="52" t="n">
        <v>346</v>
      </c>
      <c r="C453" s="53" t="inlineStr">
        <is>
          <t>Segrià</t>
        </is>
      </c>
      <c r="D453" s="53" t="inlineStr">
        <is>
          <t>Segrià</t>
        </is>
      </c>
      <c r="E453" s="33" t="inlineStr">
        <is>
          <t>No essencial</t>
        </is>
      </c>
      <c r="F453" s="53" t="n"/>
      <c r="G453" s="33"/>
      <c r="H453" s="54"/>
      <c r="I453" s="53"/>
      <c r="J453" s="55" t="n">
        <v>41.33317</v>
      </c>
      <c r="K453" s="55" t="n">
        <v>0.38188</v>
      </c>
      <c r="L453" s="56" t="inlineStr">
        <is>
          <t>Fitxa ↗</t>
        </is>
      </c>
      <c r="M453" s="56" t="inlineStr">
        <is>
          <t>Mapa ↗</t>
        </is>
      </c>
      <c r="N453" s="33"/>
      <c r="O453" s="53"/>
    </row>
    <row r="454">
      <c r="A454" s="32" t="inlineStr">
        <is>
          <t>Tossal de la Moradilla</t>
        </is>
      </c>
      <c r="B454" s="52" t="n">
        <v>243</v>
      </c>
      <c r="C454" s="53" t="inlineStr">
        <is>
          <t>Segrià</t>
        </is>
      </c>
      <c r="D454" s="53" t="inlineStr">
        <is>
          <t>Segrià</t>
        </is>
      </c>
      <c r="E454" s="33" t="inlineStr">
        <is>
          <t>No essencial</t>
        </is>
      </c>
      <c r="F454" s="53" t="n"/>
      <c r="G454" s="33"/>
      <c r="H454" s="54"/>
      <c r="I454" s="53"/>
      <c r="J454" s="55" t="n">
        <v>41.61953</v>
      </c>
      <c r="K454" s="55" t="n">
        <v>0.7098</v>
      </c>
      <c r="L454" s="56" t="inlineStr">
        <is>
          <t>Fitxa ↗</t>
        </is>
      </c>
      <c r="M454" s="56" t="inlineStr">
        <is>
          <t>Mapa ↗</t>
        </is>
      </c>
      <c r="N454" s="33"/>
      <c r="O454" s="53"/>
    </row>
    <row r="455">
      <c r="A455" s="32" t="inlineStr">
        <is>
          <t>Les Agudes</t>
        </is>
      </c>
      <c r="B455" s="52" t="n">
        <v>1705</v>
      </c>
      <c r="C455" s="53" t="inlineStr">
        <is>
          <t>Selva</t>
        </is>
      </c>
      <c r="D455" s="53" t="inlineStr">
        <is>
          <t>Selva, Vallès Oriental</t>
        </is>
      </c>
      <c r="E455" s="33" t="inlineStr">
        <is>
          <t>Essencial</t>
        </is>
      </c>
      <c r="F455" s="53" t="inlineStr">
        <is>
          <t>Selva</t>
        </is>
      </c>
      <c r="G455" s="33"/>
      <c r="H455" s="54"/>
      <c r="I455" s="53"/>
      <c r="J455" s="55" t="n">
        <v>41.78933</v>
      </c>
      <c r="K455" s="55" t="n">
        <v>2.44395</v>
      </c>
      <c r="L455" s="56" t="inlineStr">
        <is>
          <t>Fitxa ↗</t>
        </is>
      </c>
      <c r="M455" s="56" t="inlineStr">
        <is>
          <t>Mapa ↗</t>
        </is>
      </c>
      <c r="N455" s="33"/>
      <c r="O455" s="53"/>
    </row>
    <row r="456">
      <c r="A456" s="32" t="inlineStr">
        <is>
          <t>Sant Miquel de Solterra</t>
        </is>
      </c>
      <c r="B456" s="52" t="n">
        <v>1203</v>
      </c>
      <c r="C456" s="53" t="inlineStr">
        <is>
          <t>Selva</t>
        </is>
      </c>
      <c r="D456" s="53" t="inlineStr">
        <is>
          <t>Selva</t>
        </is>
      </c>
      <c r="E456" s="33" t="inlineStr">
        <is>
          <t>Essencial</t>
        </is>
      </c>
      <c r="F456" s="53" t="n"/>
      <c r="G456" s="33"/>
      <c r="H456" s="54"/>
      <c r="I456" s="53"/>
      <c r="J456" s="55" t="n">
        <v>41.92312</v>
      </c>
      <c r="K456" s="55" t="n">
        <v>2.53303</v>
      </c>
      <c r="L456" s="56" t="inlineStr">
        <is>
          <t>Fitxa ↗</t>
        </is>
      </c>
      <c r="M456" s="56" t="inlineStr">
        <is>
          <t>Mapa ↗</t>
        </is>
      </c>
      <c r="N456" s="33"/>
      <c r="O456" s="53"/>
    </row>
    <row r="457">
      <c r="A457" s="32" t="inlineStr">
        <is>
          <t>Sant Benet</t>
        </is>
      </c>
      <c r="B457" s="52" t="n">
        <v>1150</v>
      </c>
      <c r="C457" s="53" t="inlineStr">
        <is>
          <t>Selva</t>
        </is>
      </c>
      <c r="D457" s="53" t="inlineStr">
        <is>
          <t>Selva</t>
        </is>
      </c>
      <c r="E457" s="33" t="inlineStr">
        <is>
          <t>No essencial</t>
        </is>
      </c>
      <c r="F457" s="53" t="n"/>
      <c r="G457" s="33"/>
      <c r="H457" s="54"/>
      <c r="I457" s="53"/>
      <c r="J457" s="55" t="n">
        <v>41.94874</v>
      </c>
      <c r="K457" s="55" t="n">
        <v>2.5135</v>
      </c>
      <c r="L457" s="56" t="inlineStr">
        <is>
          <t>Fitxa ↗</t>
        </is>
      </c>
      <c r="M457" s="56" t="inlineStr">
        <is>
          <t>Mapa ↗</t>
        </is>
      </c>
      <c r="N457" s="33"/>
      <c r="O457" s="53"/>
    </row>
    <row r="458">
      <c r="A458" s="32" t="inlineStr">
        <is>
          <t>El Far</t>
        </is>
      </c>
      <c r="B458" s="52" t="n">
        <v>1124</v>
      </c>
      <c r="C458" s="53" t="inlineStr">
        <is>
          <t>Selva</t>
        </is>
      </c>
      <c r="D458" s="53" t="inlineStr">
        <is>
          <t>Selva</t>
        </is>
      </c>
      <c r="E458" s="33" t="inlineStr">
        <is>
          <t>No essencial</t>
        </is>
      </c>
      <c r="F458" s="53" t="n"/>
      <c r="G458" s="33"/>
      <c r="H458" s="54"/>
      <c r="I458" s="53"/>
      <c r="J458" s="55" t="n">
        <v>42.02084</v>
      </c>
      <c r="K458" s="55" t="n">
        <v>2.53664</v>
      </c>
      <c r="L458" s="56" t="inlineStr">
        <is>
          <t>Fitxa ↗</t>
        </is>
      </c>
      <c r="M458" s="56" t="inlineStr">
        <is>
          <t>Mapa ↗</t>
        </is>
      </c>
      <c r="N458" s="33"/>
      <c r="O458" s="53"/>
    </row>
    <row r="459">
      <c r="A459" s="32" t="inlineStr">
        <is>
          <t>Roques del Rei</t>
        </is>
      </c>
      <c r="B459" s="52" t="n">
        <v>852</v>
      </c>
      <c r="C459" s="53" t="inlineStr">
        <is>
          <t>Selva</t>
        </is>
      </c>
      <c r="D459" s="53" t="inlineStr">
        <is>
          <t>Selva</t>
        </is>
      </c>
      <c r="E459" s="33" t="inlineStr">
        <is>
          <t>No essencial</t>
        </is>
      </c>
      <c r="F459" s="53" t="n"/>
      <c r="G459" s="33"/>
      <c r="H459" s="54"/>
      <c r="I459" s="53"/>
      <c r="J459" s="55" t="n">
        <v>41.88528</v>
      </c>
      <c r="K459" s="55" t="n">
        <v>2.56585</v>
      </c>
      <c r="L459" s="56" t="inlineStr">
        <is>
          <t>Fitxa ↗</t>
        </is>
      </c>
      <c r="M459" s="56" t="inlineStr">
        <is>
          <t>Mapa ↗</t>
        </is>
      </c>
      <c r="N459" s="33"/>
      <c r="O459" s="53"/>
    </row>
    <row r="460">
      <c r="A460" s="32" t="inlineStr">
        <is>
          <t>Puigdefrou</t>
        </is>
      </c>
      <c r="B460" s="52" t="n">
        <v>839</v>
      </c>
      <c r="C460" s="53" t="inlineStr">
        <is>
          <t>Selva</t>
        </is>
      </c>
      <c r="D460" s="53" t="inlineStr">
        <is>
          <t>Selva</t>
        </is>
      </c>
      <c r="E460" s="33" t="inlineStr">
        <is>
          <t>No essencial</t>
        </is>
      </c>
      <c r="F460" s="53" t="n"/>
      <c r="G460" s="33"/>
      <c r="H460" s="54"/>
      <c r="I460" s="53"/>
      <c r="J460" s="55" t="n">
        <v>41.96354</v>
      </c>
      <c r="K460" s="55" t="n">
        <v>2.5925</v>
      </c>
      <c r="L460" s="56" t="inlineStr">
        <is>
          <t>Fitxa ↗</t>
        </is>
      </c>
      <c r="M460" s="56" t="inlineStr">
        <is>
          <t>Mapa ↗</t>
        </is>
      </c>
      <c r="N460" s="33"/>
      <c r="O460" s="53"/>
    </row>
    <row r="461">
      <c r="A461" s="32" t="inlineStr">
        <is>
          <t>Turó de Montsoriu</t>
        </is>
      </c>
      <c r="B461" s="52" t="n">
        <v>633</v>
      </c>
      <c r="C461" s="53" t="inlineStr">
        <is>
          <t>Selva</t>
        </is>
      </c>
      <c r="D461" s="53" t="inlineStr">
        <is>
          <t>Selva</t>
        </is>
      </c>
      <c r="E461" s="33" t="inlineStr">
        <is>
          <t>Essencial</t>
        </is>
      </c>
      <c r="F461" s="53" t="n"/>
      <c r="G461" s="33"/>
      <c r="H461" s="54"/>
      <c r="I461" s="53"/>
      <c r="J461" s="55" t="n">
        <v>41.78277</v>
      </c>
      <c r="K461" s="55" t="n">
        <v>2.54064</v>
      </c>
      <c r="L461" s="56" t="inlineStr">
        <is>
          <t>Fitxa ↗</t>
        </is>
      </c>
      <c r="M461" s="56" t="inlineStr">
        <is>
          <t>Mapa ↗</t>
        </is>
      </c>
      <c r="N461" s="33"/>
      <c r="O461" s="53"/>
    </row>
    <row r="462">
      <c r="A462" s="32" t="inlineStr">
        <is>
          <t>L’Argimon</t>
        </is>
      </c>
      <c r="B462" s="52" t="n">
        <v>465</v>
      </c>
      <c r="C462" s="53" t="inlineStr">
        <is>
          <t>Selva</t>
        </is>
      </c>
      <c r="D462" s="53" t="inlineStr">
        <is>
          <t>Selva</t>
        </is>
      </c>
      <c r="E462" s="33" t="inlineStr">
        <is>
          <t>No essencial</t>
        </is>
      </c>
      <c r="F462" s="53" t="n"/>
      <c r="G462" s="33"/>
      <c r="H462" s="54"/>
      <c r="I462" s="53"/>
      <c r="J462" s="55" t="n">
        <v>41.83066</v>
      </c>
      <c r="K462" s="55" t="n">
        <v>2.63598</v>
      </c>
      <c r="L462" s="56" t="inlineStr">
        <is>
          <t>Fitxa ↗</t>
        </is>
      </c>
      <c r="M462" s="56" t="inlineStr">
        <is>
          <t>Mapa ↗</t>
        </is>
      </c>
      <c r="N462" s="33"/>
      <c r="O462" s="53"/>
    </row>
    <row r="463">
      <c r="A463" s="32" t="inlineStr">
        <is>
          <t>Turó del Vent</t>
        </is>
      </c>
      <c r="B463" s="52" t="n">
        <v>442</v>
      </c>
      <c r="C463" s="53" t="inlineStr">
        <is>
          <t>Selva</t>
        </is>
      </c>
      <c r="D463" s="53" t="inlineStr">
        <is>
          <t>Selva</t>
        </is>
      </c>
      <c r="E463" s="33" t="inlineStr">
        <is>
          <t>No essencial</t>
        </is>
      </c>
      <c r="F463" s="53" t="n"/>
      <c r="G463" s="33"/>
      <c r="H463" s="54"/>
      <c r="I463" s="53"/>
      <c r="J463" s="55" t="n">
        <v>41.86129</v>
      </c>
      <c r="K463" s="55" t="n">
        <v>2.63101</v>
      </c>
      <c r="L463" s="56" t="inlineStr">
        <is>
          <t>Fitxa ↗</t>
        </is>
      </c>
      <c r="M463" s="56" t="inlineStr">
        <is>
          <t>Mapa ↗</t>
        </is>
      </c>
      <c r="N463" s="33"/>
      <c r="O463" s="53"/>
    </row>
    <row r="464">
      <c r="A464" s="32" t="inlineStr">
        <is>
          <t>Turó de Puigmarí</t>
        </is>
      </c>
      <c r="B464" s="52" t="n">
        <v>233</v>
      </c>
      <c r="C464" s="53" t="inlineStr">
        <is>
          <t>Selva</t>
        </is>
      </c>
      <c r="D464" s="53" t="inlineStr">
        <is>
          <t>Selva</t>
        </is>
      </c>
      <c r="E464" s="33" t="inlineStr">
        <is>
          <t>No essencial</t>
        </is>
      </c>
      <c r="F464" s="53" t="n"/>
      <c r="G464" s="33"/>
      <c r="H464" s="54"/>
      <c r="I464" s="53"/>
      <c r="J464" s="55" t="n">
        <v>41.75455</v>
      </c>
      <c r="K464" s="55" t="n">
        <v>2.73042</v>
      </c>
      <c r="L464" s="56" t="inlineStr">
        <is>
          <t>Fitxa ↗</t>
        </is>
      </c>
      <c r="M464" s="56" t="inlineStr">
        <is>
          <t>Mapa ↗</t>
        </is>
      </c>
      <c r="N464" s="33"/>
      <c r="O464" s="53"/>
    </row>
    <row r="465">
      <c r="A465" s="32" t="inlineStr">
        <is>
          <t>Puig de les Morreres</t>
        </is>
      </c>
      <c r="B465" s="52" t="n">
        <v>2211</v>
      </c>
      <c r="C465" s="53" t="inlineStr">
        <is>
          <t>Solsonès</t>
        </is>
      </c>
      <c r="D465" s="53" t="inlineStr">
        <is>
          <t>Solsonès</t>
        </is>
      </c>
      <c r="E465" s="33" t="inlineStr">
        <is>
          <t>Essencial</t>
        </is>
      </c>
      <c r="F465" s="53" t="n"/>
      <c r="G465" s="33"/>
      <c r="H465" s="54"/>
      <c r="I465" s="53"/>
      <c r="J465" s="55" t="n">
        <v>42.15092</v>
      </c>
      <c r="K465" s="55" t="n">
        <v>1.53944</v>
      </c>
      <c r="L465" s="56" t="inlineStr">
        <is>
          <t>Fitxa ↗</t>
        </is>
      </c>
      <c r="M465" s="56" t="inlineStr">
        <is>
          <t>Mapa ↗</t>
        </is>
      </c>
      <c r="N465" s="33"/>
      <c r="O465" s="53"/>
    </row>
    <row r="466">
      <c r="A466" s="32" t="inlineStr">
        <is>
          <t>Puig Sobirà</t>
        </is>
      </c>
      <c r="B466" s="52" t="n">
        <v>1938</v>
      </c>
      <c r="C466" s="53" t="inlineStr">
        <is>
          <t>Solsonès</t>
        </is>
      </c>
      <c r="D466" s="53" t="inlineStr">
        <is>
          <t>Solsonès</t>
        </is>
      </c>
      <c r="E466" s="33" t="inlineStr">
        <is>
          <t>No essencial</t>
        </is>
      </c>
      <c r="F466" s="53" t="n"/>
      <c r="G466" s="33"/>
      <c r="H466" s="54"/>
      <c r="I466" s="53"/>
      <c r="J466" s="55" t="n">
        <v>42.13404</v>
      </c>
      <c r="K466" s="55" t="n">
        <v>1.49765</v>
      </c>
      <c r="L466" s="56" t="inlineStr">
        <is>
          <t>Fitxa ↗</t>
        </is>
      </c>
      <c r="M466" s="56" t="inlineStr">
        <is>
          <t>Mapa ↗</t>
        </is>
      </c>
      <c r="N466" s="33"/>
      <c r="O466" s="53"/>
    </row>
    <row r="467">
      <c r="A467" s="32" t="inlineStr">
        <is>
          <t>El Cogul</t>
        </is>
      </c>
      <c r="B467" s="52" t="n">
        <v>1526</v>
      </c>
      <c r="C467" s="53" t="inlineStr">
        <is>
          <t>Solsonès</t>
        </is>
      </c>
      <c r="D467" s="53" t="inlineStr">
        <is>
          <t>Solsonès</t>
        </is>
      </c>
      <c r="E467" s="33" t="inlineStr">
        <is>
          <t>Essencial</t>
        </is>
      </c>
      <c r="F467" s="53" t="n"/>
      <c r="G467" s="33"/>
      <c r="H467" s="54"/>
      <c r="I467" s="53"/>
      <c r="J467" s="55" t="n">
        <v>42.11003</v>
      </c>
      <c r="K467" s="55" t="n">
        <v>1.63945</v>
      </c>
      <c r="L467" s="56" t="inlineStr">
        <is>
          <t>Fitxa ↗</t>
        </is>
      </c>
      <c r="M467" s="56" t="inlineStr">
        <is>
          <t>Mapa ↗</t>
        </is>
      </c>
      <c r="N467" s="33"/>
      <c r="O467" s="53"/>
    </row>
    <row r="468">
      <c r="A468" s="32" t="inlineStr">
        <is>
          <t>la Guàrdia (Serra de Busa)</t>
        </is>
      </c>
      <c r="B468" s="52" t="n">
        <v>1448</v>
      </c>
      <c r="C468" s="53" t="inlineStr">
        <is>
          <t>Solsonès</t>
        </is>
      </c>
      <c r="D468" s="53" t="inlineStr">
        <is>
          <t>Solsonès</t>
        </is>
      </c>
      <c r="E468" s="33" t="inlineStr">
        <is>
          <t>No essencial</t>
        </is>
      </c>
      <c r="F468" s="53" t="n"/>
      <c r="G468" s="33"/>
      <c r="H468" s="54"/>
      <c r="I468" s="53"/>
      <c r="J468" s="55" t="n">
        <v>42.0931</v>
      </c>
      <c r="K468" s="55" t="n">
        <v>1.62421</v>
      </c>
      <c r="L468" s="56" t="inlineStr">
        <is>
          <t>Fitxa ↗</t>
        </is>
      </c>
      <c r="M468" s="56" t="inlineStr">
        <is>
          <t>Mapa ↗</t>
        </is>
      </c>
      <c r="N468" s="33"/>
      <c r="O468" s="53"/>
    </row>
    <row r="469">
      <c r="A469" s="32" t="inlineStr">
        <is>
          <t>Roc de les Monges (Serrat de la Qüestió)</t>
        </is>
      </c>
      <c r="B469" s="52" t="n">
        <v>1415</v>
      </c>
      <c r="C469" s="53" t="inlineStr">
        <is>
          <t>Solsonès</t>
        </is>
      </c>
      <c r="D469" s="53" t="inlineStr">
        <is>
          <t>Solsonès</t>
        </is>
      </c>
      <c r="E469" s="33" t="inlineStr">
        <is>
          <t>No essencial</t>
        </is>
      </c>
      <c r="F469" s="53" t="n"/>
      <c r="G469" s="33"/>
      <c r="H469" s="54"/>
      <c r="I469" s="53"/>
      <c r="J469" s="55" t="n">
        <v>42.09666</v>
      </c>
      <c r="K469" s="55" t="n">
        <v>1.71725</v>
      </c>
      <c r="L469" s="56" t="inlineStr">
        <is>
          <t>Fitxa ↗</t>
        </is>
      </c>
      <c r="M469" s="56" t="inlineStr">
        <is>
          <t>Mapa ↗</t>
        </is>
      </c>
      <c r="N469" s="33"/>
      <c r="O469" s="53"/>
    </row>
    <row r="470">
      <c r="A470" s="32" t="inlineStr">
        <is>
          <t>Mola de Lord</t>
        </is>
      </c>
      <c r="B470" s="52" t="n">
        <v>1189</v>
      </c>
      <c r="C470" s="53" t="inlineStr">
        <is>
          <t>Solsonès</t>
        </is>
      </c>
      <c r="D470" s="53" t="inlineStr">
        <is>
          <t>Solsonès</t>
        </is>
      </c>
      <c r="E470" s="33" t="inlineStr">
        <is>
          <t>No essencial</t>
        </is>
      </c>
      <c r="F470" s="53" t="n"/>
      <c r="G470" s="33"/>
      <c r="H470" s="54"/>
      <c r="I470" s="53"/>
      <c r="J470" s="55" t="n">
        <v>42.11667</v>
      </c>
      <c r="K470" s="55" t="n">
        <v>1.58183</v>
      </c>
      <c r="L470" s="56" t="inlineStr">
        <is>
          <t>Fitxa ↗</t>
        </is>
      </c>
      <c r="M470" s="56" t="inlineStr">
        <is>
          <t>Mapa ↗</t>
        </is>
      </c>
      <c r="N470" s="33"/>
      <c r="O470" s="53"/>
    </row>
    <row r="471">
      <c r="A471" s="32" t="inlineStr">
        <is>
          <t>Roc del Migdia (la Valldan)</t>
        </is>
      </c>
      <c r="B471" s="52" t="n">
        <v>1153</v>
      </c>
      <c r="C471" s="53" t="inlineStr">
        <is>
          <t>Solsonès</t>
        </is>
      </c>
      <c r="D471" s="53" t="inlineStr">
        <is>
          <t>Solsonès</t>
        </is>
      </c>
      <c r="E471" s="33" t="inlineStr">
        <is>
          <t>No essencial</t>
        </is>
      </c>
      <c r="F471" s="53" t="n"/>
      <c r="G471" s="33"/>
      <c r="H471" s="54"/>
      <c r="I471" s="53"/>
      <c r="J471" s="55" t="n">
        <v>42.10453</v>
      </c>
      <c r="K471" s="55" t="n">
        <v>1.36239</v>
      </c>
      <c r="L471" s="56" t="inlineStr">
        <is>
          <t>Fitxa ↗</t>
        </is>
      </c>
      <c r="M471" s="56" t="inlineStr">
        <is>
          <t>Mapa ↗</t>
        </is>
      </c>
      <c r="N471" s="33"/>
      <c r="O471" s="53"/>
    </row>
    <row r="472">
      <c r="A472" s="32" t="inlineStr">
        <is>
          <t>Serra de Pinós</t>
        </is>
      </c>
      <c r="B472" s="52" t="n">
        <v>928</v>
      </c>
      <c r="C472" s="53" t="inlineStr">
        <is>
          <t>Solsonès</t>
        </is>
      </c>
      <c r="D472" s="53" t="inlineStr">
        <is>
          <t>Solsonès</t>
        </is>
      </c>
      <c r="E472" s="33" t="inlineStr">
        <is>
          <t>No essencial</t>
        </is>
      </c>
      <c r="F472" s="53" t="n"/>
      <c r="G472" s="33"/>
      <c r="H472" s="54"/>
      <c r="I472" s="53"/>
      <c r="J472" s="55" t="n">
        <v>41.83359</v>
      </c>
      <c r="K472" s="55" t="n">
        <v>1.52894</v>
      </c>
      <c r="L472" s="56" t="inlineStr">
        <is>
          <t>Fitxa ↗</t>
        </is>
      </c>
      <c r="M472" s="56" t="inlineStr">
        <is>
          <t>Mapa ↗</t>
        </is>
      </c>
      <c r="N472" s="33"/>
      <c r="O472" s="53"/>
    </row>
    <row r="473">
      <c r="A473" s="32" t="inlineStr">
        <is>
          <t>Sant Simplici</t>
        </is>
      </c>
      <c r="B473" s="52" t="n">
        <v>110</v>
      </c>
      <c r="C473" s="53" t="inlineStr">
        <is>
          <t>Tarragonès</t>
        </is>
      </c>
      <c r="D473" s="53" t="inlineStr">
        <is>
          <t>Tarragonès</t>
        </is>
      </c>
      <c r="E473" s="33" t="inlineStr">
        <is>
          <t>No essencial</t>
        </is>
      </c>
      <c r="F473" s="53" t="n"/>
      <c r="G473" s="33"/>
      <c r="H473" s="54"/>
      <c r="I473" s="53"/>
      <c r="J473" s="55" t="n">
        <v>41.1449</v>
      </c>
      <c r="K473" s="55" t="n">
        <v>1.33703</v>
      </c>
      <c r="L473" s="56" t="inlineStr">
        <is>
          <t>Fitxa ↗</t>
        </is>
      </c>
      <c r="M473" s="56" t="inlineStr">
        <is>
          <t>Mapa ↗</t>
        </is>
      </c>
      <c r="N473" s="33"/>
      <c r="O473" s="53"/>
    </row>
    <row r="474">
      <c r="A474" s="32" t="inlineStr">
        <is>
          <t>la Miranda de Terranyes</t>
        </is>
      </c>
      <c r="B474" s="52" t="n">
        <v>1193</v>
      </c>
      <c r="C474" s="53" t="inlineStr">
        <is>
          <t>Terra Alta</t>
        </is>
      </c>
      <c r="D474" s="53" t="inlineStr">
        <is>
          <t>Terra Alta</t>
        </is>
      </c>
      <c r="E474" s="33" t="inlineStr">
        <is>
          <t>No essencial</t>
        </is>
      </c>
      <c r="F474" s="53" t="n"/>
      <c r="G474" s="33"/>
      <c r="H474" s="54"/>
      <c r="I474" s="53"/>
      <c r="J474" s="55" t="n">
        <v>40.83501</v>
      </c>
      <c r="K474" s="55" t="n">
        <v>0.28034</v>
      </c>
      <c r="L474" s="56" t="inlineStr">
        <is>
          <t>Fitxa ↗</t>
        </is>
      </c>
      <c r="M474" s="56" t="inlineStr">
        <is>
          <t>Mapa ↗</t>
        </is>
      </c>
      <c r="N474" s="33"/>
      <c r="O474" s="53"/>
    </row>
    <row r="475">
      <c r="A475" s="32" t="inlineStr">
        <is>
          <t>Roques de Benet (el Castell)</t>
        </is>
      </c>
      <c r="B475" s="52" t="n">
        <v>1017</v>
      </c>
      <c r="C475" s="53" t="inlineStr">
        <is>
          <t>Terra Alta</t>
        </is>
      </c>
      <c r="D475" s="53" t="inlineStr">
        <is>
          <t>Terra Alta</t>
        </is>
      </c>
      <c r="E475" s="33" t="inlineStr">
        <is>
          <t>Essencial</t>
        </is>
      </c>
      <c r="F475" s="53" t="n"/>
      <c r="G475" s="33"/>
      <c r="H475" s="54"/>
      <c r="I475" s="53"/>
      <c r="J475" s="55" t="n">
        <v>40.90065</v>
      </c>
      <c r="K475" s="55" t="n">
        <v>0.32655</v>
      </c>
      <c r="L475" s="56" t="inlineStr">
        <is>
          <t>Fitxa ↗</t>
        </is>
      </c>
      <c r="M475" s="56" t="inlineStr">
        <is>
          <t>Mapa ↗</t>
        </is>
      </c>
      <c r="N475" s="33"/>
      <c r="O475" s="53"/>
    </row>
    <row r="476">
      <c r="A476" s="32" t="inlineStr">
        <is>
          <t>lo Blau (Roca Grossa Moletans)</t>
        </is>
      </c>
      <c r="B476" s="52" t="n">
        <v>841</v>
      </c>
      <c r="C476" s="53" t="inlineStr">
        <is>
          <t>Terra Alta</t>
        </is>
      </c>
      <c r="D476" s="53" t="inlineStr">
        <is>
          <t>Terra Alta</t>
        </is>
      </c>
      <c r="E476" s="33" t="inlineStr">
        <is>
          <t>No essencial</t>
        </is>
      </c>
      <c r="F476" s="53" t="n"/>
      <c r="G476" s="33"/>
      <c r="H476" s="54"/>
      <c r="I476" s="53"/>
      <c r="J476" s="55" t="n">
        <v>40.87077</v>
      </c>
      <c r="K476" s="55" t="n">
        <v>0.26615</v>
      </c>
      <c r="L476" s="56" t="inlineStr">
        <is>
          <t>Fitxa ↗</t>
        </is>
      </c>
      <c r="M476" s="56" t="inlineStr">
        <is>
          <t>Mapa ↗</t>
        </is>
      </c>
      <c r="N476" s="33"/>
      <c r="O476" s="53"/>
    </row>
    <row r="477">
      <c r="A477" s="32" t="inlineStr">
        <is>
          <t>Santa Bàrbara</t>
        </is>
      </c>
      <c r="B477" s="52" t="n">
        <v>752</v>
      </c>
      <c r="C477" s="53" t="inlineStr">
        <is>
          <t>Terra Alta</t>
        </is>
      </c>
      <c r="D477" s="53" t="inlineStr">
        <is>
          <t>Terra Alta</t>
        </is>
      </c>
      <c r="E477" s="33" t="inlineStr">
        <is>
          <t>Essencial</t>
        </is>
      </c>
      <c r="F477" s="53" t="n"/>
      <c r="G477" s="33"/>
      <c r="H477" s="54"/>
      <c r="I477" s="53"/>
      <c r="J477" s="55" t="n">
        <v>40.95689</v>
      </c>
      <c r="K477" s="55" t="n">
        <v>0.33833</v>
      </c>
      <c r="L477" s="56" t="inlineStr">
        <is>
          <t>Fitxa ↗</t>
        </is>
      </c>
      <c r="M477" s="56" t="inlineStr">
        <is>
          <t>Mapa ↗</t>
        </is>
      </c>
      <c r="N477" s="33"/>
      <c r="O477" s="53"/>
    </row>
    <row r="478">
      <c r="A478" s="32" t="inlineStr">
        <is>
          <t>Puig Cavaller</t>
        </is>
      </c>
      <c r="B478" s="52" t="n">
        <v>706</v>
      </c>
      <c r="C478" s="53" t="inlineStr">
        <is>
          <t>Terra Alta</t>
        </is>
      </c>
      <c r="D478" s="53" t="inlineStr">
        <is>
          <t>Terra Alta</t>
        </is>
      </c>
      <c r="E478" s="33" t="inlineStr">
        <is>
          <t>No essencial</t>
        </is>
      </c>
      <c r="F478" s="53" t="n"/>
      <c r="G478" s="33"/>
      <c r="H478" s="54"/>
      <c r="I478" s="53"/>
      <c r="J478" s="55" t="n">
        <v>41.02776</v>
      </c>
      <c r="K478" s="55" t="n">
        <v>0.43763</v>
      </c>
      <c r="L478" s="56" t="inlineStr">
        <is>
          <t>Fitxa ↗</t>
        </is>
      </c>
      <c r="M478" s="56" t="inlineStr">
        <is>
          <t>Mapa ↗</t>
        </is>
      </c>
      <c r="N478" s="33"/>
      <c r="O478" s="53"/>
    </row>
    <row r="479">
      <c r="A479" s="32" t="inlineStr">
        <is>
          <t>Punta Redona</t>
        </is>
      </c>
      <c r="B479" s="52" t="n">
        <v>659</v>
      </c>
      <c r="C479" s="53" t="inlineStr">
        <is>
          <t>Terra Alta</t>
        </is>
      </c>
      <c r="D479" s="53" t="inlineStr">
        <is>
          <t>Terra Alta</t>
        </is>
      </c>
      <c r="E479" s="33" t="inlineStr">
        <is>
          <t>No essencial</t>
        </is>
      </c>
      <c r="F479" s="53" t="n"/>
      <c r="G479" s="33"/>
      <c r="H479" s="54"/>
      <c r="I479" s="53"/>
      <c r="J479" s="55" t="n">
        <v>41.05885</v>
      </c>
      <c r="K479" s="55" t="n">
        <v>0.50093</v>
      </c>
      <c r="L479" s="56" t="inlineStr">
        <is>
          <t>Fitxa ↗</t>
        </is>
      </c>
      <c r="M479" s="56" t="inlineStr">
        <is>
          <t>Mapa ↗</t>
        </is>
      </c>
      <c r="N479" s="33"/>
      <c r="O479" s="53"/>
    </row>
    <row r="480">
      <c r="A480" s="32" t="inlineStr">
        <is>
          <t>Rocamala</t>
        </is>
      </c>
      <c r="B480" s="52" t="n">
        <v>621</v>
      </c>
      <c r="C480" s="53" t="inlineStr">
        <is>
          <t>Terra Alta</t>
        </is>
      </c>
      <c r="D480" s="53" t="inlineStr">
        <is>
          <t>Terra Alta</t>
        </is>
      </c>
      <c r="E480" s="33" t="inlineStr">
        <is>
          <t>No essencial</t>
        </is>
      </c>
      <c r="F480" s="53" t="n"/>
      <c r="G480" s="33"/>
      <c r="H480" s="54"/>
      <c r="I480" s="53"/>
      <c r="J480" s="55" t="n">
        <v>40.99286</v>
      </c>
      <c r="K480" s="55" t="n">
        <v>0.39773</v>
      </c>
      <c r="L480" s="56" t="inlineStr">
        <is>
          <t>Fitxa ↗</t>
        </is>
      </c>
      <c r="M480" s="56" t="inlineStr">
        <is>
          <t>Mapa ↗</t>
        </is>
      </c>
      <c r="N480" s="33"/>
      <c r="O480" s="53"/>
    </row>
    <row r="481">
      <c r="A481" s="32" t="inlineStr">
        <is>
          <t>Mola d’Irto</t>
        </is>
      </c>
      <c r="B481" s="52" t="n">
        <v>538</v>
      </c>
      <c r="C481" s="53" t="inlineStr">
        <is>
          <t>Terra Alta</t>
        </is>
      </c>
      <c r="D481" s="53" t="inlineStr">
        <is>
          <t>Terra Alta</t>
        </is>
      </c>
      <c r="E481" s="33" t="inlineStr">
        <is>
          <t>No essencial</t>
        </is>
      </c>
      <c r="F481" s="53" t="n"/>
      <c r="G481" s="33"/>
      <c r="H481" s="54"/>
      <c r="I481" s="53"/>
      <c r="J481" s="55" t="n">
        <v>41.04179</v>
      </c>
      <c r="K481" s="55" t="n">
        <v>0.4748</v>
      </c>
      <c r="L481" s="56" t="inlineStr">
        <is>
          <t>Fitxa ↗</t>
        </is>
      </c>
      <c r="M481" s="56" t="inlineStr">
        <is>
          <t>Mapa ↗</t>
        </is>
      </c>
      <c r="N481" s="33"/>
      <c r="O481" s="53"/>
    </row>
    <row r="482">
      <c r="A482" s="32" t="inlineStr">
        <is>
          <t>Pilar d’Almenara</t>
        </is>
      </c>
      <c r="B482" s="52" t="n">
        <v>459</v>
      </c>
      <c r="C482" s="53" t="inlineStr">
        <is>
          <t>Urgell</t>
        </is>
      </c>
      <c r="D482" s="53" t="inlineStr">
        <is>
          <t>Urgell</t>
        </is>
      </c>
      <c r="E482" s="33" t="inlineStr">
        <is>
          <t>Essencial</t>
        </is>
      </c>
      <c r="F482" s="53" t="n"/>
      <c r="G482" s="33"/>
      <c r="H482" s="54"/>
      <c r="I482" s="53"/>
      <c r="J482" s="55" t="n">
        <v>41.75342</v>
      </c>
      <c r="K482" s="55" t="n">
        <v>1.06725</v>
      </c>
      <c r="L482" s="56" t="inlineStr">
        <is>
          <t>Fitxa ↗</t>
        </is>
      </c>
      <c r="M482" s="56" t="inlineStr">
        <is>
          <t>Mapa ↗</t>
        </is>
      </c>
      <c r="N482" s="33"/>
      <c r="O482" s="53"/>
    </row>
    <row r="483">
      <c r="A483" s="32" t="inlineStr">
        <is>
          <t>Tossal d’Espígol</t>
        </is>
      </c>
      <c r="B483" s="52" t="n">
        <v>368</v>
      </c>
      <c r="C483" s="53" t="inlineStr">
        <is>
          <t>Urgell</t>
        </is>
      </c>
      <c r="D483" s="53" t="inlineStr">
        <is>
          <t>Urgell</t>
        </is>
      </c>
      <c r="E483" s="33" t="inlineStr">
        <is>
          <t>No essencial</t>
        </is>
      </c>
      <c r="F483" s="53" t="n"/>
      <c r="G483" s="33"/>
      <c r="H483" s="54"/>
      <c r="I483" s="53"/>
      <c r="J483" s="55" t="n">
        <v>41.71127</v>
      </c>
      <c r="K483" s="55" t="n">
        <v>1.08998</v>
      </c>
      <c r="L483" s="56" t="inlineStr">
        <is>
          <t>Fitxa ↗</t>
        </is>
      </c>
      <c r="M483" s="56" t="inlineStr">
        <is>
          <t>Mapa ↗</t>
        </is>
      </c>
      <c r="N483" s="33"/>
      <c r="O483" s="53"/>
    </row>
    <row r="484">
      <c r="A484" s="32" t="inlineStr">
        <is>
          <t>Tuc de Molières</t>
        </is>
      </c>
      <c r="B484" s="52" t="n">
        <v>3010</v>
      </c>
      <c r="C484" s="53" t="inlineStr">
        <is>
          <t>Val d'Aran</t>
        </is>
      </c>
      <c r="D484" s="53" t="inlineStr">
        <is>
          <t>Val d'Aran</t>
        </is>
      </c>
      <c r="E484" s="33" t="inlineStr">
        <is>
          <t>Essencial</t>
        </is>
      </c>
      <c r="F484" s="53" t="inlineStr">
        <is>
          <t>Val d'Aran</t>
        </is>
      </c>
      <c r="G484" s="33"/>
      <c r="H484" s="54"/>
      <c r="I484" s="53"/>
      <c r="J484" s="55" t="n">
        <v>42.62948</v>
      </c>
      <c r="K484" s="55" t="n">
        <v>0.69856</v>
      </c>
      <c r="L484" s="56" t="inlineStr">
        <is>
          <t>Fitxa ↗</t>
        </is>
      </c>
      <c r="M484" s="56" t="inlineStr">
        <is>
          <t>Mapa ↗</t>
        </is>
      </c>
      <c r="N484" s="33"/>
      <c r="O484" s="53"/>
    </row>
    <row r="485">
      <c r="A485" s="32" t="inlineStr">
        <is>
          <t>Tuc de la Tallada</t>
        </is>
      </c>
      <c r="B485" s="52" t="n">
        <v>2956</v>
      </c>
      <c r="C485" s="53" t="inlineStr">
        <is>
          <t>Val d'Aran</t>
        </is>
      </c>
      <c r="D485" s="53" t="inlineStr">
        <is>
          <t>Val d'Aran</t>
        </is>
      </c>
      <c r="E485" s="33" t="inlineStr">
        <is>
          <t>No essencial</t>
        </is>
      </c>
      <c r="F485" s="53" t="n"/>
      <c r="G485" s="33"/>
      <c r="H485" s="54"/>
      <c r="I485" s="53"/>
      <c r="J485" s="55" t="n">
        <v>42.61677</v>
      </c>
      <c r="K485" s="55" t="n">
        <v>0.7237</v>
      </c>
      <c r="L485" s="56" t="inlineStr">
        <is>
          <t>Fitxa ↗</t>
        </is>
      </c>
      <c r="M485" s="56" t="inlineStr">
        <is>
          <t>Mapa ↗</t>
        </is>
      </c>
      <c r="N485" s="33"/>
      <c r="O485" s="53"/>
    </row>
    <row r="486">
      <c r="A486" s="32" t="inlineStr">
        <is>
          <t>Malh des Pois (la Forcanada)</t>
        </is>
      </c>
      <c r="B486" s="52" t="n">
        <v>2883</v>
      </c>
      <c r="C486" s="53" t="inlineStr">
        <is>
          <t>Val d'Aran</t>
        </is>
      </c>
      <c r="D486" s="53" t="inlineStr">
        <is>
          <t>Val d'Aran</t>
        </is>
      </c>
      <c r="E486" s="33" t="inlineStr">
        <is>
          <t>No essencial</t>
        </is>
      </c>
      <c r="F486" s="53" t="n"/>
      <c r="G486" s="33"/>
      <c r="H486" s="54"/>
      <c r="I486" s="53"/>
      <c r="J486" s="55" t="n">
        <v>42.64322</v>
      </c>
      <c r="K486" s="55" t="n">
        <v>0.70563</v>
      </c>
      <c r="L486" s="56" t="inlineStr">
        <is>
          <t>Fitxa ↗</t>
        </is>
      </c>
      <c r="M486" s="56" t="inlineStr">
        <is>
          <t>Mapa ↗</t>
        </is>
      </c>
      <c r="N486" s="33"/>
      <c r="O486" s="53"/>
    </row>
    <row r="487">
      <c r="A487" s="32" t="inlineStr">
        <is>
          <t>Maubèrme</t>
        </is>
      </c>
      <c r="B487" s="52" t="n">
        <v>2882</v>
      </c>
      <c r="C487" s="53" t="inlineStr">
        <is>
          <t>Val d'Aran</t>
        </is>
      </c>
      <c r="D487" s="53" t="inlineStr">
        <is>
          <t>Val d'Aran</t>
        </is>
      </c>
      <c r="E487" s="33" t="inlineStr">
        <is>
          <t>Essencial</t>
        </is>
      </c>
      <c r="F487" s="53" t="n"/>
      <c r="G487" s="33"/>
      <c r="H487" s="54"/>
      <c r="I487" s="53"/>
      <c r="J487" s="55" t="n">
        <v>42.79375</v>
      </c>
      <c r="K487" s="55" t="n">
        <v>0.91714</v>
      </c>
      <c r="L487" s="56" t="inlineStr">
        <is>
          <t>Fitxa ↗</t>
        </is>
      </c>
      <c r="M487" s="56" t="inlineStr">
        <is>
          <t>Mapa ↗</t>
        </is>
      </c>
      <c r="N487" s="33"/>
      <c r="O487" s="53"/>
    </row>
    <row r="488">
      <c r="A488" s="32" t="inlineStr">
        <is>
          <t>Montardo</t>
        </is>
      </c>
      <c r="B488" s="52" t="n">
        <v>2833</v>
      </c>
      <c r="C488" s="53" t="inlineStr">
        <is>
          <t>Val d'Aran</t>
        </is>
      </c>
      <c r="D488" s="53" t="inlineStr">
        <is>
          <t>Val d'Aran</t>
        </is>
      </c>
      <c r="E488" s="33" t="inlineStr">
        <is>
          <t>Essencial</t>
        </is>
      </c>
      <c r="F488" s="53" t="n"/>
      <c r="G488" s="33"/>
      <c r="H488" s="54"/>
      <c r="I488" s="53"/>
      <c r="J488" s="55" t="n">
        <v>42.63333</v>
      </c>
      <c r="K488" s="55" t="n">
        <v>0.87535</v>
      </c>
      <c r="L488" s="56" t="inlineStr">
        <is>
          <t>Fitxa ↗</t>
        </is>
      </c>
      <c r="M488" s="56" t="inlineStr">
        <is>
          <t>Mapa ↗</t>
        </is>
      </c>
      <c r="N488" s="33"/>
      <c r="O488" s="53"/>
    </row>
    <row r="489">
      <c r="A489" s="32" t="inlineStr">
        <is>
          <t>Tuc de Barlonguèra</t>
        </is>
      </c>
      <c r="B489" s="52" t="n">
        <v>2802</v>
      </c>
      <c r="C489" s="53" t="inlineStr">
        <is>
          <t>Val d'Aran</t>
        </is>
      </c>
      <c r="D489" s="53" t="inlineStr">
        <is>
          <t>Val d'Aran</t>
        </is>
      </c>
      <c r="E489" s="33" t="inlineStr">
        <is>
          <t>No essencial</t>
        </is>
      </c>
      <c r="F489" s="53" t="n"/>
      <c r="G489" s="33"/>
      <c r="H489" s="54"/>
      <c r="I489" s="53"/>
      <c r="J489" s="55" t="n">
        <v>42.78857</v>
      </c>
      <c r="K489" s="55" t="n">
        <v>1.00984</v>
      </c>
      <c r="L489" s="56" t="inlineStr">
        <is>
          <t>Fitxa ↗</t>
        </is>
      </c>
      <c r="M489" s="56" t="inlineStr">
        <is>
          <t>Mapa ↗</t>
        </is>
      </c>
      <c r="N489" s="33"/>
      <c r="O489" s="53"/>
    </row>
    <row r="490">
      <c r="A490" s="32" t="inlineStr">
        <is>
          <t>Malh de Bolard</t>
        </is>
      </c>
      <c r="B490" s="52" t="n">
        <v>2753</v>
      </c>
      <c r="C490" s="53" t="inlineStr">
        <is>
          <t>Val d'Aran</t>
        </is>
      </c>
      <c r="D490" s="53" t="inlineStr">
        <is>
          <t>Val d'Aran</t>
        </is>
      </c>
      <c r="E490" s="33" t="inlineStr">
        <is>
          <t>No essencial</t>
        </is>
      </c>
      <c r="F490" s="53" t="n"/>
      <c r="G490" s="33"/>
      <c r="H490" s="54"/>
      <c r="I490" s="53"/>
      <c r="J490" s="55" t="n">
        <v>42.80581</v>
      </c>
      <c r="K490" s="55" t="n">
        <v>0.96045</v>
      </c>
      <c r="L490" s="56" t="inlineStr">
        <is>
          <t>Fitxa ↗</t>
        </is>
      </c>
      <c r="M490" s="56" t="inlineStr">
        <is>
          <t>Mapa ↗</t>
        </is>
      </c>
      <c r="N490" s="33"/>
      <c r="O490" s="53"/>
    </row>
    <row r="491">
      <c r="A491" s="32" t="inlineStr">
        <is>
          <t>Tossau de Mar</t>
        </is>
      </c>
      <c r="B491" s="52" t="n">
        <v>2750</v>
      </c>
      <c r="C491" s="53" t="inlineStr">
        <is>
          <t>Val d'Aran</t>
        </is>
      </c>
      <c r="D491" s="53" t="inlineStr">
        <is>
          <t>Val d'Aran</t>
        </is>
      </c>
      <c r="E491" s="33" t="inlineStr">
        <is>
          <t>No essencial</t>
        </is>
      </c>
      <c r="F491" s="53" t="n"/>
      <c r="G491" s="33"/>
      <c r="H491" s="54"/>
      <c r="I491" s="53"/>
      <c r="J491" s="55" t="n">
        <v>42.6303</v>
      </c>
      <c r="K491" s="55" t="n">
        <v>0.82897</v>
      </c>
      <c r="L491" s="56" t="inlineStr">
        <is>
          <t>Fitxa ↗</t>
        </is>
      </c>
      <c r="M491" s="56" t="inlineStr">
        <is>
          <t>Mapa ↗</t>
        </is>
      </c>
      <c r="N491" s="33"/>
      <c r="O491" s="53"/>
    </row>
    <row r="492">
      <c r="A492" s="32" t="inlineStr">
        <is>
          <t>Tuc de Parros</t>
        </is>
      </c>
      <c r="B492" s="52" t="n">
        <v>2731</v>
      </c>
      <c r="C492" s="53" t="inlineStr">
        <is>
          <t>Val d'Aran</t>
        </is>
      </c>
      <c r="D492" s="53" t="inlineStr">
        <is>
          <t>Val d'Aran</t>
        </is>
      </c>
      <c r="E492" s="33" t="inlineStr">
        <is>
          <t>No essencial</t>
        </is>
      </c>
      <c r="F492" s="53" t="n"/>
      <c r="G492" s="33"/>
      <c r="H492" s="54"/>
      <c r="I492" s="53"/>
      <c r="J492" s="55" t="n">
        <v>42.76778</v>
      </c>
      <c r="K492" s="55" t="n">
        <v>0.93305</v>
      </c>
      <c r="L492" s="56" t="inlineStr">
        <is>
          <t>Fitxa ↗</t>
        </is>
      </c>
      <c r="M492" s="56" t="inlineStr">
        <is>
          <t>Mapa ↗</t>
        </is>
      </c>
      <c r="N492" s="33"/>
      <c r="O492" s="53"/>
    </row>
    <row r="493">
      <c r="A493" s="32" t="inlineStr">
        <is>
          <t>Malh dera Artiga</t>
        </is>
      </c>
      <c r="B493" s="52" t="n">
        <v>2710</v>
      </c>
      <c r="C493" s="53" t="inlineStr">
        <is>
          <t>Val d'Aran</t>
        </is>
      </c>
      <c r="D493" s="53" t="inlineStr">
        <is>
          <t>Val d'Aran</t>
        </is>
      </c>
      <c r="E493" s="33" t="inlineStr">
        <is>
          <t>No essencial</t>
        </is>
      </c>
      <c r="F493" s="53" t="n"/>
      <c r="G493" s="33"/>
      <c r="H493" s="54"/>
      <c r="I493" s="53"/>
      <c r="J493" s="55" t="n">
        <v>42.65861</v>
      </c>
      <c r="K493" s="55" t="n">
        <v>0.69556</v>
      </c>
      <c r="L493" s="56" t="inlineStr">
        <is>
          <t>Fitxa ↗</t>
        </is>
      </c>
      <c r="M493" s="56" t="inlineStr">
        <is>
          <t>Mapa ↗</t>
        </is>
      </c>
      <c r="N493" s="33"/>
      <c r="O493" s="53"/>
    </row>
    <row r="494">
      <c r="A494" s="32" t="inlineStr">
        <is>
          <t>Tuc Gran dera Sendrosa</t>
        </is>
      </c>
      <c r="B494" s="52" t="n">
        <v>2703</v>
      </c>
      <c r="C494" s="53" t="inlineStr">
        <is>
          <t>Val d'Aran</t>
        </is>
      </c>
      <c r="D494" s="53" t="inlineStr">
        <is>
          <t>Val d'Aran</t>
        </is>
      </c>
      <c r="E494" s="33" t="inlineStr">
        <is>
          <t>No essencial</t>
        </is>
      </c>
      <c r="F494" s="53" t="n"/>
      <c r="G494" s="33"/>
      <c r="H494" s="54"/>
      <c r="I494" s="53"/>
      <c r="J494" s="55" t="n">
        <v>42.62393</v>
      </c>
      <c r="K494" s="55" t="n">
        <v>0.94685</v>
      </c>
      <c r="L494" s="56" t="inlineStr">
        <is>
          <t>Fitxa ↗</t>
        </is>
      </c>
      <c r="M494" s="56" t="inlineStr">
        <is>
          <t>Mapa ↗</t>
        </is>
      </c>
      <c r="N494" s="33"/>
      <c r="O494" s="53"/>
    </row>
    <row r="495">
      <c r="A495" s="32" t="inlineStr">
        <is>
          <t>Tuc de Bacivèr</t>
        </is>
      </c>
      <c r="B495" s="52" t="n">
        <v>2645</v>
      </c>
      <c r="C495" s="53" t="inlineStr">
        <is>
          <t>Val d'Aran</t>
        </is>
      </c>
      <c r="D495" s="53" t="inlineStr">
        <is>
          <t>Val d'Aran</t>
        </is>
      </c>
      <c r="E495" s="33" t="inlineStr">
        <is>
          <t>No essencial</t>
        </is>
      </c>
      <c r="F495" s="53" t="n"/>
      <c r="G495" s="33"/>
      <c r="H495" s="54"/>
      <c r="I495" s="53"/>
      <c r="J495" s="55" t="n">
        <v>42.71263</v>
      </c>
      <c r="K495" s="55" t="n">
        <v>0.9917899999999999</v>
      </c>
      <c r="L495" s="56" t="inlineStr">
        <is>
          <t>Fitxa ↗</t>
        </is>
      </c>
      <c r="M495" s="56" t="inlineStr">
        <is>
          <t>Mapa ↗</t>
        </is>
      </c>
      <c r="N495" s="33"/>
      <c r="O495" s="53"/>
    </row>
    <row r="496">
      <c r="A496" s="32" t="inlineStr">
        <is>
          <t>Tuc de Sarrahèra</t>
        </is>
      </c>
      <c r="B496" s="52" t="n">
        <v>2634</v>
      </c>
      <c r="C496" s="53" t="inlineStr">
        <is>
          <t>Val d'Aran</t>
        </is>
      </c>
      <c r="D496" s="53" t="inlineStr">
        <is>
          <t>Val d'Aran</t>
        </is>
      </c>
      <c r="E496" s="33" t="inlineStr">
        <is>
          <t>No essencial</t>
        </is>
      </c>
      <c r="F496" s="53" t="n"/>
      <c r="G496" s="33"/>
      <c r="H496" s="54"/>
      <c r="I496" s="53"/>
      <c r="J496" s="55" t="n">
        <v>42.64425</v>
      </c>
      <c r="K496" s="55" t="n">
        <v>0.79636</v>
      </c>
      <c r="L496" s="56" t="inlineStr">
        <is>
          <t>Fitxa ↗</t>
        </is>
      </c>
      <c r="M496" s="56" t="inlineStr">
        <is>
          <t>Mapa ↗</t>
        </is>
      </c>
      <c r="N496" s="33"/>
      <c r="O496" s="53"/>
    </row>
    <row r="497">
      <c r="A497" s="32" t="inlineStr">
        <is>
          <t>Tuc de Crabèra</t>
        </is>
      </c>
      <c r="B497" s="52" t="n">
        <v>2630</v>
      </c>
      <c r="C497" s="53" t="inlineStr">
        <is>
          <t>Val d'Aran</t>
        </is>
      </c>
      <c r="D497" s="53" t="inlineStr">
        <is>
          <t>Val d'Aran</t>
        </is>
      </c>
      <c r="E497" s="33" t="inlineStr">
        <is>
          <t>No essencial</t>
        </is>
      </c>
      <c r="F497" s="53" t="n"/>
      <c r="G497" s="33"/>
      <c r="H497" s="54"/>
      <c r="I497" s="53"/>
      <c r="J497" s="55" t="n">
        <v>42.8257</v>
      </c>
      <c r="K497" s="55" t="n">
        <v>0.85821</v>
      </c>
      <c r="L497" s="56" t="inlineStr">
        <is>
          <t>Fitxa ↗</t>
        </is>
      </c>
      <c r="M497" s="56" t="inlineStr">
        <is>
          <t>Mapa ↗</t>
        </is>
      </c>
      <c r="N497" s="33"/>
      <c r="O497" s="53"/>
    </row>
    <row r="498">
      <c r="A498" s="32" t="inlineStr">
        <is>
          <t>Tuc deth Port de Vielha</t>
        </is>
      </c>
      <c r="B498" s="52" t="n">
        <v>2606</v>
      </c>
      <c r="C498" s="53" t="inlineStr">
        <is>
          <t>Val d'Aran</t>
        </is>
      </c>
      <c r="D498" s="53" t="inlineStr">
        <is>
          <t>Val d'Aran</t>
        </is>
      </c>
      <c r="E498" s="33" t="inlineStr">
        <is>
          <t>Essencial</t>
        </is>
      </c>
      <c r="F498" s="53" t="n"/>
      <c r="G498" s="33"/>
      <c r="H498" s="54"/>
      <c r="I498" s="53"/>
      <c r="J498" s="55" t="n">
        <v>42.64186</v>
      </c>
      <c r="K498" s="55" t="n">
        <v>0.76553</v>
      </c>
      <c r="L498" s="56" t="inlineStr">
        <is>
          <t>Fitxa ↗</t>
        </is>
      </c>
      <c r="M498" s="56" t="inlineStr">
        <is>
          <t>Mapa ↗</t>
        </is>
      </c>
      <c r="N498" s="33"/>
      <c r="O498" s="53"/>
    </row>
    <row r="499">
      <c r="A499" s="32" t="inlineStr">
        <is>
          <t>Tuc dera Pincèla</t>
        </is>
      </c>
      <c r="B499" s="52" t="n">
        <v>2536</v>
      </c>
      <c r="C499" s="53" t="inlineStr">
        <is>
          <t>Val d'Aran</t>
        </is>
      </c>
      <c r="D499" s="53" t="inlineStr">
        <is>
          <t>Val d'Aran</t>
        </is>
      </c>
      <c r="E499" s="33" t="inlineStr">
        <is>
          <t>No essencial</t>
        </is>
      </c>
      <c r="F499" s="53" t="n"/>
      <c r="G499" s="33"/>
      <c r="H499" s="54"/>
      <c r="I499" s="53"/>
      <c r="J499" s="55" t="n">
        <v>42.74286</v>
      </c>
      <c r="K499" s="55" t="n">
        <v>0.87568</v>
      </c>
      <c r="L499" s="56" t="inlineStr">
        <is>
          <t>Fitxa ↗</t>
        </is>
      </c>
      <c r="M499" s="56" t="inlineStr">
        <is>
          <t>Mapa ↗</t>
        </is>
      </c>
      <c r="N499" s="33"/>
      <c r="O499" s="53"/>
    </row>
    <row r="500">
      <c r="A500" s="32" t="inlineStr">
        <is>
          <t>Tuc des Armèros</t>
        </is>
      </c>
      <c r="B500" s="52" t="n">
        <v>2534</v>
      </c>
      <c r="C500" s="53" t="inlineStr">
        <is>
          <t>Val d'Aran</t>
        </is>
      </c>
      <c r="D500" s="53" t="inlineStr">
        <is>
          <t>Val d'Aran</t>
        </is>
      </c>
      <c r="E500" s="33" t="inlineStr">
        <is>
          <t>No essencial</t>
        </is>
      </c>
      <c r="F500" s="53" t="n"/>
      <c r="G500" s="33"/>
      <c r="H500" s="54"/>
      <c r="I500" s="53"/>
      <c r="J500" s="55" t="n">
        <v>42.78125</v>
      </c>
      <c r="K500" s="55" t="n">
        <v>0.87691</v>
      </c>
      <c r="L500" s="56" t="inlineStr">
        <is>
          <t>Fitxa ↗</t>
        </is>
      </c>
      <c r="M500" s="56" t="inlineStr">
        <is>
          <t>Mapa ↗</t>
        </is>
      </c>
      <c r="N500" s="33"/>
      <c r="O500" s="53"/>
    </row>
    <row r="501">
      <c r="A501" s="32" t="inlineStr">
        <is>
          <t>Montlude</t>
        </is>
      </c>
      <c r="B501" s="52" t="n">
        <v>2518</v>
      </c>
      <c r="C501" s="53" t="inlineStr">
        <is>
          <t>Val d'Aran</t>
        </is>
      </c>
      <c r="D501" s="53" t="inlineStr">
        <is>
          <t>Val d'Aran</t>
        </is>
      </c>
      <c r="E501" s="33" t="inlineStr">
        <is>
          <t>Essencial</t>
        </is>
      </c>
      <c r="F501" s="53" t="n"/>
      <c r="G501" s="33"/>
      <c r="H501" s="54"/>
      <c r="I501" s="53"/>
      <c r="J501" s="55" t="n">
        <v>42.78526</v>
      </c>
      <c r="K501" s="55" t="n">
        <v>0.75872</v>
      </c>
      <c r="L501" s="56" t="inlineStr">
        <is>
          <t>Fitxa ↗</t>
        </is>
      </c>
      <c r="M501" s="56" t="inlineStr">
        <is>
          <t>Mapa ↗</t>
        </is>
      </c>
      <c r="N501" s="33"/>
      <c r="O501" s="53"/>
    </row>
    <row r="502">
      <c r="A502" s="32" t="inlineStr">
        <is>
          <t>Tuc de Somont</t>
        </is>
      </c>
      <c r="B502" s="52" t="n">
        <v>2508</v>
      </c>
      <c r="C502" s="53" t="inlineStr">
        <is>
          <t>Val d'Aran</t>
        </is>
      </c>
      <c r="D502" s="53" t="inlineStr">
        <is>
          <t>Val d'Aran</t>
        </is>
      </c>
      <c r="E502" s="33" t="inlineStr">
        <is>
          <t>No essencial</t>
        </is>
      </c>
      <c r="F502" s="53" t="n"/>
      <c r="G502" s="33"/>
      <c r="H502" s="54"/>
      <c r="I502" s="53"/>
      <c r="J502" s="55" t="n">
        <v>42.75128</v>
      </c>
      <c r="K502" s="55" t="n">
        <v>0.8519</v>
      </c>
      <c r="L502" s="56" t="inlineStr">
        <is>
          <t>Fitxa ↗</t>
        </is>
      </c>
      <c r="M502" s="56" t="inlineStr">
        <is>
          <t>Mapa ↗</t>
        </is>
      </c>
      <c r="N502" s="33"/>
      <c r="O502" s="53"/>
    </row>
    <row r="503">
      <c r="A503" s="32" t="inlineStr">
        <is>
          <t>Pujoalbo</t>
        </is>
      </c>
      <c r="B503" s="52" t="n">
        <v>2504</v>
      </c>
      <c r="C503" s="53" t="inlineStr">
        <is>
          <t>Val d'Aran</t>
        </is>
      </c>
      <c r="D503" s="53" t="inlineStr">
        <is>
          <t>Val d'Aran</t>
        </is>
      </c>
      <c r="E503" s="33" t="inlineStr">
        <is>
          <t>No essencial</t>
        </is>
      </c>
      <c r="F503" s="53" t="n"/>
      <c r="G503" s="33"/>
      <c r="H503" s="54"/>
      <c r="I503" s="53"/>
      <c r="J503" s="55" t="n">
        <v>42.65521</v>
      </c>
      <c r="K503" s="55" t="n">
        <v>0.84014</v>
      </c>
      <c r="L503" s="56" t="inlineStr">
        <is>
          <t>Fitxa ↗</t>
        </is>
      </c>
      <c r="M503" s="56" t="inlineStr">
        <is>
          <t>Mapa ↗</t>
        </is>
      </c>
      <c r="N503" s="33"/>
      <c r="O503" s="53"/>
    </row>
    <row r="504">
      <c r="A504" s="32" t="inlineStr">
        <is>
          <t>Tuc de Salana</t>
        </is>
      </c>
      <c r="B504" s="52" t="n">
        <v>2485</v>
      </c>
      <c r="C504" s="53" t="inlineStr">
        <is>
          <t>Val d'Aran</t>
        </is>
      </c>
      <c r="D504" s="53" t="inlineStr">
        <is>
          <t>Val d'Aran</t>
        </is>
      </c>
      <c r="E504" s="33" t="inlineStr">
        <is>
          <t>No essencial</t>
        </is>
      </c>
      <c r="F504" s="53" t="n"/>
      <c r="G504" s="33"/>
      <c r="H504" s="54"/>
      <c r="I504" s="53"/>
      <c r="J504" s="55" t="n">
        <v>42.64688</v>
      </c>
      <c r="K504" s="55" t="n">
        <v>0.90844</v>
      </c>
      <c r="L504" s="56" t="inlineStr">
        <is>
          <t>Fitxa ↗</t>
        </is>
      </c>
      <c r="M504" s="56" t="inlineStr">
        <is>
          <t>Mapa ↗</t>
        </is>
      </c>
      <c r="N504" s="33"/>
      <c r="O504" s="53"/>
    </row>
    <row r="505">
      <c r="A505" s="32" t="inlineStr">
        <is>
          <t>Montanha d’Uishèra</t>
        </is>
      </c>
      <c r="B505" s="52" t="n">
        <v>2339</v>
      </c>
      <c r="C505" s="53" t="inlineStr">
        <is>
          <t>Val d'Aran</t>
        </is>
      </c>
      <c r="D505" s="53" t="inlineStr">
        <is>
          <t>Val d'Aran</t>
        </is>
      </c>
      <c r="E505" s="33" t="inlineStr">
        <is>
          <t>No essencial</t>
        </is>
      </c>
      <c r="F505" s="53" t="n"/>
      <c r="G505" s="33"/>
      <c r="H505" s="54"/>
      <c r="I505" s="53"/>
      <c r="J505" s="55" t="n">
        <v>42.76561</v>
      </c>
      <c r="K505" s="55" t="n">
        <v>0.7327900000000001</v>
      </c>
      <c r="L505" s="56" t="inlineStr">
        <is>
          <t>Fitxa ↗</t>
        </is>
      </c>
      <c r="M505" s="56" t="inlineStr">
        <is>
          <t>Mapa ↗</t>
        </is>
      </c>
      <c r="N505" s="33"/>
      <c r="O505" s="53"/>
    </row>
    <row r="506">
      <c r="A506" s="32" t="inlineStr">
        <is>
          <t>Tuc d’Era Entecada</t>
        </is>
      </c>
      <c r="B506" s="52" t="n">
        <v>2269</v>
      </c>
      <c r="C506" s="53" t="inlineStr">
        <is>
          <t>Val d'Aran</t>
        </is>
      </c>
      <c r="D506" s="53" t="inlineStr">
        <is>
          <t>Val d'Aran</t>
        </is>
      </c>
      <c r="E506" s="33" t="inlineStr">
        <is>
          <t>No essencial</t>
        </is>
      </c>
      <c r="F506" s="53" t="n"/>
      <c r="G506" s="33"/>
      <c r="H506" s="54"/>
      <c r="I506" s="53"/>
      <c r="J506" s="55" t="n">
        <v>42.71807</v>
      </c>
      <c r="K506" s="55" t="n">
        <v>0.69696</v>
      </c>
      <c r="L506" s="56" t="inlineStr">
        <is>
          <t>Fitxa ↗</t>
        </is>
      </c>
      <c r="M506" s="56" t="inlineStr">
        <is>
          <t>Mapa ↗</t>
        </is>
      </c>
      <c r="N506" s="33"/>
      <c r="O506" s="53"/>
    </row>
    <row r="507">
      <c r="A507" s="32" t="inlineStr">
        <is>
          <t>Tuc deth Plan deth Ome (Vacanera)</t>
        </is>
      </c>
      <c r="B507" s="52" t="n">
        <v>2194</v>
      </c>
      <c r="C507" s="53" t="inlineStr">
        <is>
          <t>Val d'Aran</t>
        </is>
      </c>
      <c r="D507" s="53" t="inlineStr">
        <is>
          <t>Val d'Aran</t>
        </is>
      </c>
      <c r="E507" s="33" t="inlineStr">
        <is>
          <t>No essencial</t>
        </is>
      </c>
      <c r="F507" s="53" t="n"/>
      <c r="G507" s="33"/>
      <c r="H507" s="54"/>
      <c r="I507" s="53"/>
      <c r="J507" s="55" t="n">
        <v>42.84613</v>
      </c>
      <c r="K507" s="55" t="n">
        <v>0.6751200000000001</v>
      </c>
      <c r="L507" s="56" t="inlineStr">
        <is>
          <t>Fitxa ↗</t>
        </is>
      </c>
      <c r="M507" s="56" t="inlineStr">
        <is>
          <t>Mapa ↗</t>
        </is>
      </c>
      <c r="N507" s="33"/>
      <c r="O507" s="53"/>
    </row>
    <row r="508">
      <c r="A508" s="32" t="inlineStr">
        <is>
          <t>Montcorbison</t>
        </is>
      </c>
      <c r="B508" s="52" t="n">
        <v>2173</v>
      </c>
      <c r="C508" s="53" t="inlineStr">
        <is>
          <t>Val d'Aran</t>
        </is>
      </c>
      <c r="D508" s="53" t="inlineStr">
        <is>
          <t>Val d'Aran</t>
        </is>
      </c>
      <c r="E508" s="33" t="inlineStr">
        <is>
          <t>Essencial</t>
        </is>
      </c>
      <c r="F508" s="53" t="n"/>
      <c r="G508" s="33"/>
      <c r="H508" s="54"/>
      <c r="I508" s="53"/>
      <c r="J508" s="55" t="n">
        <v>42.70782</v>
      </c>
      <c r="K508" s="55" t="n">
        <v>0.75868</v>
      </c>
      <c r="L508" s="56" t="inlineStr">
        <is>
          <t>Fitxa ↗</t>
        </is>
      </c>
      <c r="M508" s="56" t="inlineStr">
        <is>
          <t>Mapa ↗</t>
        </is>
      </c>
      <c r="N508" s="33"/>
      <c r="O508" s="53"/>
    </row>
    <row r="509">
      <c r="A509" s="32" t="inlineStr">
        <is>
          <t>Tuc d’Arres</t>
        </is>
      </c>
      <c r="B509" s="52" t="n">
        <v>2163</v>
      </c>
      <c r="C509" s="53" t="inlineStr">
        <is>
          <t>Val d'Aran</t>
        </is>
      </c>
      <c r="D509" s="53" t="inlineStr">
        <is>
          <t>Val d'Aran</t>
        </is>
      </c>
      <c r="E509" s="33" t="inlineStr">
        <is>
          <t>No essencial</t>
        </is>
      </c>
      <c r="F509" s="53" t="n"/>
      <c r="G509" s="33"/>
      <c r="H509" s="54"/>
      <c r="I509" s="53"/>
      <c r="J509" s="55" t="n">
        <v>42.74371</v>
      </c>
      <c r="K509" s="55" t="n">
        <v>0.66335</v>
      </c>
      <c r="L509" s="56" t="inlineStr">
        <is>
          <t>Fitxa ↗</t>
        </is>
      </c>
      <c r="M509" s="56" t="inlineStr">
        <is>
          <t>Mapa ↗</t>
        </is>
      </c>
      <c r="N509" s="33"/>
      <c r="O509" s="53"/>
    </row>
    <row r="510">
      <c r="A510" s="32" t="inlineStr">
        <is>
          <t>La Mola de Sant Llorenç del Munt</t>
        </is>
      </c>
      <c r="B510" s="52" t="n">
        <v>1102</v>
      </c>
      <c r="C510" s="53" t="inlineStr">
        <is>
          <t>Vallès Occidental</t>
        </is>
      </c>
      <c r="D510" s="53" t="inlineStr">
        <is>
          <t>Vallès Occidental</t>
        </is>
      </c>
      <c r="E510" s="33" t="inlineStr">
        <is>
          <t>Essencial</t>
        </is>
      </c>
      <c r="F510" s="53" t="inlineStr">
        <is>
          <t>Vallès Occidental</t>
        </is>
      </c>
      <c r="G510" s="33"/>
      <c r="H510" s="54"/>
      <c r="I510" s="53"/>
      <c r="J510" s="55" t="n">
        <v>41.64115</v>
      </c>
      <c r="K510" s="55" t="n">
        <v>2.01767</v>
      </c>
      <c r="L510" s="56" t="inlineStr">
        <is>
          <t>Fitxa ↗</t>
        </is>
      </c>
      <c r="M510" s="56" t="inlineStr">
        <is>
          <t>Mapa ↗</t>
        </is>
      </c>
      <c r="N510" s="33"/>
      <c r="O510" s="53"/>
    </row>
    <row r="511">
      <c r="A511" s="32" t="inlineStr">
        <is>
          <t>Sant Sadurní de Gallifa</t>
        </is>
      </c>
      <c r="B511" s="52" t="n">
        <v>942</v>
      </c>
      <c r="C511" s="53" t="inlineStr">
        <is>
          <t>Vallès Occidental</t>
        </is>
      </c>
      <c r="D511" s="53" t="inlineStr">
        <is>
          <t>Vallès Occidental</t>
        </is>
      </c>
      <c r="E511" s="33" t="inlineStr">
        <is>
          <t>Essencial</t>
        </is>
      </c>
      <c r="F511" s="53" t="n"/>
      <c r="G511" s="33"/>
      <c r="H511" s="54"/>
      <c r="I511" s="53"/>
      <c r="J511" s="55" t="n">
        <v>41.70277</v>
      </c>
      <c r="K511" s="55" t="n">
        <v>2.12296</v>
      </c>
      <c r="L511" s="56" t="inlineStr">
        <is>
          <t>Fitxa ↗</t>
        </is>
      </c>
      <c r="M511" s="56" t="inlineStr">
        <is>
          <t>Mapa ↗</t>
        </is>
      </c>
      <c r="N511" s="33"/>
      <c r="O511" s="53"/>
    </row>
    <row r="512">
      <c r="A512" s="32" t="inlineStr">
        <is>
          <t>Castellsapera</t>
        </is>
      </c>
      <c r="B512" s="52" t="n">
        <v>939</v>
      </c>
      <c r="C512" s="53" t="inlineStr">
        <is>
          <t>Vallès Occidental</t>
        </is>
      </c>
      <c r="D512" s="53" t="inlineStr">
        <is>
          <t>Vallès Occidental</t>
        </is>
      </c>
      <c r="E512" s="33" t="inlineStr">
        <is>
          <t>Essencial</t>
        </is>
      </c>
      <c r="F512" s="53" t="n"/>
      <c r="G512" s="33"/>
      <c r="H512" s="54"/>
      <c r="I512" s="53"/>
      <c r="J512" s="55" t="n">
        <v>41.64453</v>
      </c>
      <c r="K512" s="55" t="n">
        <v>1.97087</v>
      </c>
      <c r="L512" s="56" t="inlineStr">
        <is>
          <t>Fitxa ↗</t>
        </is>
      </c>
      <c r="M512" s="56" t="inlineStr">
        <is>
          <t>Mapa ↗</t>
        </is>
      </c>
      <c r="N512" s="33"/>
      <c r="O512" s="53"/>
    </row>
    <row r="513">
      <c r="A513" s="32" t="inlineStr">
        <is>
          <t>Puig de la Creu</t>
        </is>
      </c>
      <c r="B513" s="52" t="n">
        <v>668</v>
      </c>
      <c r="C513" s="53" t="inlineStr">
        <is>
          <t>Vallès Occidental</t>
        </is>
      </c>
      <c r="D513" s="53" t="inlineStr">
        <is>
          <t>Vallès Occidental</t>
        </is>
      </c>
      <c r="E513" s="33" t="inlineStr">
        <is>
          <t>Essencial</t>
        </is>
      </c>
      <c r="F513" s="53" t="n"/>
      <c r="G513" s="33"/>
      <c r="H513" s="54"/>
      <c r="I513" s="53"/>
      <c r="J513" s="55" t="n">
        <v>41.62921</v>
      </c>
      <c r="K513" s="55" t="n">
        <v>2.10123</v>
      </c>
      <c r="L513" s="56" t="inlineStr">
        <is>
          <t>Fitxa ↗</t>
        </is>
      </c>
      <c r="M513" s="56" t="inlineStr">
        <is>
          <t>Mapa ↗</t>
        </is>
      </c>
      <c r="N513" s="33"/>
      <c r="O513" s="53"/>
    </row>
    <row r="514">
      <c r="A514" s="32" t="inlineStr">
        <is>
          <t>Castell de Bocs</t>
        </is>
      </c>
      <c r="B514" s="52" t="n">
        <v>662</v>
      </c>
      <c r="C514" s="53" t="inlineStr">
        <is>
          <t>Vallès Occidental</t>
        </is>
      </c>
      <c r="D514" s="53" t="inlineStr">
        <is>
          <t>Vallès Occidental</t>
        </is>
      </c>
      <c r="E514" s="33" t="inlineStr">
        <is>
          <t>No essencial</t>
        </is>
      </c>
      <c r="F514" s="53" t="n"/>
      <c r="G514" s="33"/>
      <c r="H514" s="54"/>
      <c r="I514" s="53"/>
      <c r="J514" s="55" t="n">
        <v>41.64237</v>
      </c>
      <c r="K514" s="55" t="n">
        <v>1.94182</v>
      </c>
      <c r="L514" s="56" t="inlineStr">
        <is>
          <t>Fitxa ↗</t>
        </is>
      </c>
      <c r="M514" s="56" t="inlineStr">
        <is>
          <t>Mapa ↗</t>
        </is>
      </c>
      <c r="N514" s="33"/>
      <c r="O514" s="53"/>
    </row>
    <row r="515">
      <c r="A515" s="32" t="inlineStr">
        <is>
          <t>Turó del Ros</t>
        </is>
      </c>
      <c r="B515" s="52" t="n">
        <v>635</v>
      </c>
      <c r="C515" s="53" t="inlineStr">
        <is>
          <t>Vallès Occidental</t>
        </is>
      </c>
      <c r="D515" s="53" t="inlineStr">
        <is>
          <t>Vallès Occidental</t>
        </is>
      </c>
      <c r="E515" s="33" t="inlineStr">
        <is>
          <t>No essencial</t>
        </is>
      </c>
      <c r="F515" s="53" t="n"/>
      <c r="G515" s="33"/>
      <c r="H515" s="54"/>
      <c r="I515" s="53"/>
      <c r="J515" s="55" t="n">
        <v>41.57634</v>
      </c>
      <c r="K515" s="55" t="n">
        <v>1.93397</v>
      </c>
      <c r="L515" s="56" t="inlineStr">
        <is>
          <t>Fitxa ↗</t>
        </is>
      </c>
      <c r="M515" s="56" t="inlineStr">
        <is>
          <t>Mapa ↗</t>
        </is>
      </c>
      <c r="N515" s="33"/>
      <c r="O515" s="53"/>
    </row>
    <row r="516">
      <c r="A516" s="32" t="inlineStr">
        <is>
          <t>Turó de Montcada</t>
        </is>
      </c>
      <c r="B516" s="52" t="n">
        <v>273</v>
      </c>
      <c r="C516" s="53" t="inlineStr">
        <is>
          <t>Vallès Occidental</t>
        </is>
      </c>
      <c r="D516" s="53" t="inlineStr">
        <is>
          <t>Vallès Occidental</t>
        </is>
      </c>
      <c r="E516" s="33" t="inlineStr">
        <is>
          <t>No essencial</t>
        </is>
      </c>
      <c r="F516" s="53" t="n"/>
      <c r="G516" s="33"/>
      <c r="H516" s="54"/>
      <c r="I516" s="53"/>
      <c r="J516" s="55" t="n">
        <v>41.47721</v>
      </c>
      <c r="K516" s="55" t="n">
        <v>2.17661</v>
      </c>
      <c r="L516" s="56" t="inlineStr">
        <is>
          <t>Fitxa ↗</t>
        </is>
      </c>
      <c r="M516" s="56" t="inlineStr">
        <is>
          <t>Mapa ↗</t>
        </is>
      </c>
      <c r="N516" s="33"/>
      <c r="O516" s="53"/>
    </row>
    <row r="517">
      <c r="A517" s="32" t="inlineStr">
        <is>
          <t>Turó de l’Home</t>
        </is>
      </c>
      <c r="B517" s="52" t="n">
        <v>1706</v>
      </c>
      <c r="C517" s="53" t="inlineStr">
        <is>
          <t>Vallès Oriental</t>
        </is>
      </c>
      <c r="D517" s="53" t="inlineStr">
        <is>
          <t>Vallès Oriental</t>
        </is>
      </c>
      <c r="E517" s="33" t="inlineStr">
        <is>
          <t>No essencial</t>
        </is>
      </c>
      <c r="F517" s="53" t="inlineStr">
        <is>
          <t>Vallès Oriental</t>
        </is>
      </c>
      <c r="G517" s="33"/>
      <c r="H517" s="54"/>
      <c r="I517" s="53"/>
      <c r="J517" s="55" t="n">
        <v>41.77649</v>
      </c>
      <c r="K517" s="55" t="n">
        <v>2.43481</v>
      </c>
      <c r="L517" s="56" t="inlineStr">
        <is>
          <t>Fitxa ↗</t>
        </is>
      </c>
      <c r="M517" s="56" t="inlineStr">
        <is>
          <t>Mapa ↗</t>
        </is>
      </c>
      <c r="N517" s="33"/>
      <c r="O517" s="53"/>
    </row>
    <row r="518">
      <c r="A518" s="32" t="inlineStr">
        <is>
          <t>el Sui</t>
        </is>
      </c>
      <c r="B518" s="52" t="n">
        <v>1319</v>
      </c>
      <c r="C518" s="53" t="inlineStr">
        <is>
          <t>Vallès Oriental</t>
        </is>
      </c>
      <c r="D518" s="53" t="inlineStr">
        <is>
          <t>Vallès Oriental</t>
        </is>
      </c>
      <c r="E518" s="33" t="inlineStr">
        <is>
          <t>No essencial</t>
        </is>
      </c>
      <c r="F518" s="53" t="n"/>
      <c r="G518" s="33"/>
      <c r="H518" s="54"/>
      <c r="I518" s="53"/>
      <c r="J518" s="55" t="n">
        <v>41.74911</v>
      </c>
      <c r="K518" s="55" t="n">
        <v>2.34565</v>
      </c>
      <c r="L518" s="56" t="inlineStr">
        <is>
          <t>Fitxa ↗</t>
        </is>
      </c>
      <c r="M518" s="56" t="inlineStr">
        <is>
          <t>Mapa ↗</t>
        </is>
      </c>
      <c r="N518" s="33"/>
      <c r="O518" s="53"/>
    </row>
    <row r="519">
      <c r="A519" s="32" t="inlineStr">
        <is>
          <t>Turó del Samont</t>
        </is>
      </c>
      <c r="B519" s="52" t="n">
        <v>1273</v>
      </c>
      <c r="C519" s="53" t="inlineStr">
        <is>
          <t>Vallès Oriental</t>
        </is>
      </c>
      <c r="D519" s="53" t="inlineStr">
        <is>
          <t>Vallès Oriental</t>
        </is>
      </c>
      <c r="E519" s="33" t="inlineStr">
        <is>
          <t>No essencial</t>
        </is>
      </c>
      <c r="F519" s="53" t="n"/>
      <c r="G519" s="33"/>
      <c r="H519" s="54"/>
      <c r="I519" s="53"/>
      <c r="J519" s="55" t="n">
        <v>41.74268</v>
      </c>
      <c r="K519" s="55" t="n">
        <v>2.36553</v>
      </c>
      <c r="L519" s="56" t="inlineStr">
        <is>
          <t>Fitxa ↗</t>
        </is>
      </c>
      <c r="M519" s="56" t="inlineStr">
        <is>
          <t>Mapa ↗</t>
        </is>
      </c>
      <c r="N519" s="33"/>
      <c r="O519" s="53"/>
    </row>
    <row r="520">
      <c r="A520" s="32" t="inlineStr">
        <is>
          <t>Tagamanent</t>
        </is>
      </c>
      <c r="B520" s="52" t="n">
        <v>1056</v>
      </c>
      <c r="C520" s="53" t="inlineStr">
        <is>
          <t>Vallès Oriental</t>
        </is>
      </c>
      <c r="D520" s="53" t="inlineStr">
        <is>
          <t>Vallès Oriental</t>
        </is>
      </c>
      <c r="E520" s="33" t="inlineStr">
        <is>
          <t>Essencial</t>
        </is>
      </c>
      <c r="F520" s="53" t="n"/>
      <c r="G520" s="33"/>
      <c r="H520" s="54"/>
      <c r="I520" s="53"/>
      <c r="J520" s="55" t="n">
        <v>41.74748</v>
      </c>
      <c r="K520" s="55" t="n">
        <v>2.29602</v>
      </c>
      <c r="L520" s="56" t="inlineStr">
        <is>
          <t>Fitxa ↗</t>
        </is>
      </c>
      <c r="M520" s="56" t="inlineStr">
        <is>
          <t>Mapa ↗</t>
        </is>
      </c>
      <c r="N520" s="33"/>
      <c r="O520" s="53"/>
    </row>
    <row r="521">
      <c r="A521" s="32" t="inlineStr">
        <is>
          <t>Pic del Vent</t>
        </is>
      </c>
      <c r="B521" s="52" t="n">
        <v>816</v>
      </c>
      <c r="C521" s="53" t="inlineStr">
        <is>
          <t>Vallès Oriental</t>
        </is>
      </c>
      <c r="D521" s="53" t="inlineStr">
        <is>
          <t>Vallès Oriental</t>
        </is>
      </c>
      <c r="E521" s="33" t="inlineStr">
        <is>
          <t>Essencial</t>
        </is>
      </c>
      <c r="F521" s="53" t="n"/>
      <c r="G521" s="33"/>
      <c r="H521" s="54"/>
      <c r="I521" s="53"/>
      <c r="J521" s="55" t="n">
        <v>41.6553</v>
      </c>
      <c r="K521" s="55" t="n">
        <v>2.1283</v>
      </c>
      <c r="L521" s="56" t="inlineStr">
        <is>
          <t>Fitxa ↗</t>
        </is>
      </c>
      <c r="M521" s="56" t="inlineStr">
        <is>
          <t>Mapa ↗</t>
        </is>
      </c>
      <c r="N521" s="33"/>
      <c r="O521" s="53"/>
    </row>
    <row r="522">
      <c r="A522" s="32" t="inlineStr">
        <is>
          <t>Puiggraciós</t>
        </is>
      </c>
      <c r="B522" s="52" t="n">
        <v>808</v>
      </c>
      <c r="C522" s="53" t="inlineStr">
        <is>
          <t>Vallès Oriental</t>
        </is>
      </c>
      <c r="D522" s="53" t="inlineStr">
        <is>
          <t>Vallès Oriental</t>
        </is>
      </c>
      <c r="E522" s="33" t="inlineStr">
        <is>
          <t>No essencial</t>
        </is>
      </c>
      <c r="F522" s="53" t="n"/>
      <c r="G522" s="33"/>
      <c r="H522" s="54"/>
      <c r="I522" s="53"/>
      <c r="J522" s="55" t="n">
        <v>41.70267</v>
      </c>
      <c r="K522" s="55" t="n">
        <v>2.24119</v>
      </c>
      <c r="L522" s="56" t="inlineStr">
        <is>
          <t>Fitxa ↗</t>
        </is>
      </c>
      <c r="M522" s="56" t="inlineStr">
        <is>
          <t>Mapa ↗</t>
        </is>
      </c>
      <c r="N522" s="33"/>
      <c r="O522" s="53"/>
    </row>
    <row r="523">
      <c r="A523" s="32" t="inlineStr">
        <is>
          <t>la Soca</t>
        </is>
      </c>
      <c r="B523" s="52" t="n">
        <v>1635</v>
      </c>
      <c r="C523" s="53" t="inlineStr">
        <is>
          <t>Vallespir</t>
        </is>
      </c>
      <c r="D523" s="53" t="inlineStr">
        <is>
          <t>Vallespir</t>
        </is>
      </c>
      <c r="E523" s="33" t="inlineStr">
        <is>
          <t>No essencial</t>
        </is>
      </c>
      <c r="F523" s="53" t="n"/>
      <c r="G523" s="33"/>
      <c r="H523" s="54"/>
      <c r="I523" s="53"/>
      <c r="J523" s="55" t="n">
        <v>42.46007</v>
      </c>
      <c r="K523" s="55" t="n">
        <v>2.53715</v>
      </c>
      <c r="L523" s="56" t="inlineStr">
        <is>
          <t>Fitxa ↗</t>
        </is>
      </c>
      <c r="M523" s="56" t="inlineStr">
        <is>
          <t>Mapa ↗</t>
        </is>
      </c>
      <c r="N523" s="33"/>
      <c r="O523" s="53"/>
    </row>
    <row r="524">
      <c r="A524" s="32" t="inlineStr">
        <is>
          <t>Torres de Cabrenç</t>
        </is>
      </c>
      <c r="B524" s="52" t="n">
        <v>1344</v>
      </c>
      <c r="C524" s="53" t="inlineStr">
        <is>
          <t>Vallespir</t>
        </is>
      </c>
      <c r="D524" s="53" t="inlineStr">
        <is>
          <t>Vallespir</t>
        </is>
      </c>
      <c r="E524" s="33" t="inlineStr">
        <is>
          <t>No essencial</t>
        </is>
      </c>
      <c r="F524" s="53" t="n"/>
      <c r="G524" s="33"/>
      <c r="H524" s="54"/>
      <c r="I524" s="53"/>
      <c r="J524" s="55" t="n">
        <v>42.36457</v>
      </c>
      <c r="K524" s="55" t="n">
        <v>2.54217</v>
      </c>
      <c r="L524" s="56" t="inlineStr">
        <is>
          <t>Fitxa ↗</t>
        </is>
      </c>
      <c r="M524" s="56" t="inlineStr">
        <is>
          <t>Mapa ↗</t>
        </is>
      </c>
      <c r="N524" s="33"/>
      <c r="O524" s="53"/>
    </row>
    <row r="525">
      <c r="A525" s="32" t="inlineStr">
        <is>
          <t>Piló de Bellmaig</t>
        </is>
      </c>
      <c r="B525" s="52" t="n">
        <v>1281</v>
      </c>
      <c r="C525" s="53" t="inlineStr">
        <is>
          <t>Vallespir</t>
        </is>
      </c>
      <c r="D525" s="53" t="inlineStr">
        <is>
          <t>Vallespir</t>
        </is>
      </c>
      <c r="E525" s="33" t="inlineStr">
        <is>
          <t>No essencial</t>
        </is>
      </c>
      <c r="F525" s="53" t="n"/>
      <c r="G525" s="33"/>
      <c r="H525" s="54"/>
      <c r="I525" s="53"/>
      <c r="J525" s="55" t="n">
        <v>42.43206</v>
      </c>
      <c r="K525" s="55" t="n">
        <v>2.65071</v>
      </c>
      <c r="L525" s="56" t="inlineStr">
        <is>
          <t>Fitxa ↗</t>
        </is>
      </c>
      <c r="M525" s="56" t="inlineStr">
        <is>
          <t>Mapa ↗</t>
        </is>
      </c>
      <c r="N525" s="33"/>
      <c r="O525" s="53"/>
    </row>
    <row r="526">
      <c r="A526" s="32" t="inlineStr">
        <is>
          <t>Roc de Sant Salvador</t>
        </is>
      </c>
      <c r="B526" s="52" t="n">
        <v>1235</v>
      </c>
      <c r="C526" s="53" t="inlineStr">
        <is>
          <t>Vallespir</t>
        </is>
      </c>
      <c r="D526" s="53" t="inlineStr">
        <is>
          <t>Vallespir</t>
        </is>
      </c>
      <c r="E526" s="33" t="inlineStr">
        <is>
          <t>No essencial</t>
        </is>
      </c>
      <c r="F526" s="53" t="n"/>
      <c r="G526" s="33"/>
      <c r="H526" s="54"/>
      <c r="I526" s="53"/>
      <c r="J526" s="55" t="n">
        <v>42.42734</v>
      </c>
      <c r="K526" s="55" t="n">
        <v>2.69458</v>
      </c>
      <c r="L526" s="56" t="inlineStr">
        <is>
          <t>Fitxa ↗</t>
        </is>
      </c>
      <c r="M526" s="56" t="inlineStr">
        <is>
          <t>Mapa ↗</t>
        </is>
      </c>
      <c r="N526" s="33"/>
      <c r="O526" s="53"/>
    </row>
  </sheetData>
  <conditionalFormatting sqref="A5:O526">
    <cfRule type="expression" priority="1" dxfId="0">
      <formula>$G5="Sí"</formula>
    </cfRule>
  </conditionalFormatting>
  <conditionalFormatting sqref="G5:G526">
    <cfRule type="cellIs" priority="2" operator="equal" dxfId="2">
      <formula>"Sí"</formula>
    </cfRule>
    <cfRule type="cellIs" priority="3" operator="equal" dxfId="3">
      <formula>"No"</formula>
    </cfRule>
  </conditionalFormatting>
  <conditionalFormatting sqref="E5:E526">
    <cfRule type="cellIs" priority="4" operator="equal" dxfId="4">
      <formula>"Essencial"</formula>
    </cfRule>
    <cfRule type="cellIs" priority="5" operator="equal" dxfId="5">
      <formula>"No essencial"</formula>
    </cfRule>
  </conditionalFormatting>
  <conditionalFormatting sqref="F5:F526">
    <cfRule type="expression" priority="6" dxfId="6">
      <formula>LEN($F5)&gt;0</formula>
    </cfRule>
  </conditionalFormatting>
  <dataValidations count="1">
    <dataValidation sqref="G5:G526" showDropDown="0" showInputMessage="0" showErrorMessage="0" allowBlank="0" type="list">
      <formula1>"Sí,No"</formula1>
    </dataValidation>
  </dataValidations>
  <hyperlinks>
    <hyperlink xmlns:r="http://schemas.openxmlformats.org/officeDocument/2006/relationships" ref="L5" r:id="rId1"/>
    <hyperlink xmlns:r="http://schemas.openxmlformats.org/officeDocument/2006/relationships" ref="M5" r:id="rId2"/>
    <hyperlink xmlns:r="http://schemas.openxmlformats.org/officeDocument/2006/relationships" ref="L6" r:id="rId3"/>
    <hyperlink xmlns:r="http://schemas.openxmlformats.org/officeDocument/2006/relationships" ref="M6" r:id="rId4"/>
    <hyperlink xmlns:r="http://schemas.openxmlformats.org/officeDocument/2006/relationships" ref="L7" r:id="rId5"/>
    <hyperlink xmlns:r="http://schemas.openxmlformats.org/officeDocument/2006/relationships" ref="M7" r:id="rId6"/>
    <hyperlink xmlns:r="http://schemas.openxmlformats.org/officeDocument/2006/relationships" ref="L8" r:id="rId7"/>
    <hyperlink xmlns:r="http://schemas.openxmlformats.org/officeDocument/2006/relationships" ref="M8" r:id="rId8"/>
    <hyperlink xmlns:r="http://schemas.openxmlformats.org/officeDocument/2006/relationships" ref="L9" r:id="rId9"/>
    <hyperlink xmlns:r="http://schemas.openxmlformats.org/officeDocument/2006/relationships" ref="M9" r:id="rId10"/>
    <hyperlink xmlns:r="http://schemas.openxmlformats.org/officeDocument/2006/relationships" ref="L10" r:id="rId11"/>
    <hyperlink xmlns:r="http://schemas.openxmlformats.org/officeDocument/2006/relationships" ref="M10" r:id="rId12"/>
    <hyperlink xmlns:r="http://schemas.openxmlformats.org/officeDocument/2006/relationships" ref="L11" r:id="rId13"/>
    <hyperlink xmlns:r="http://schemas.openxmlformats.org/officeDocument/2006/relationships" ref="M11" r:id="rId14"/>
    <hyperlink xmlns:r="http://schemas.openxmlformats.org/officeDocument/2006/relationships" ref="L12" r:id="rId15"/>
    <hyperlink xmlns:r="http://schemas.openxmlformats.org/officeDocument/2006/relationships" ref="M12" r:id="rId16"/>
    <hyperlink xmlns:r="http://schemas.openxmlformats.org/officeDocument/2006/relationships" ref="L13" r:id="rId17"/>
    <hyperlink xmlns:r="http://schemas.openxmlformats.org/officeDocument/2006/relationships" ref="M13" r:id="rId18"/>
    <hyperlink xmlns:r="http://schemas.openxmlformats.org/officeDocument/2006/relationships" ref="L14" r:id="rId19"/>
    <hyperlink xmlns:r="http://schemas.openxmlformats.org/officeDocument/2006/relationships" ref="M14" r:id="rId20"/>
    <hyperlink xmlns:r="http://schemas.openxmlformats.org/officeDocument/2006/relationships" ref="L15" r:id="rId21"/>
    <hyperlink xmlns:r="http://schemas.openxmlformats.org/officeDocument/2006/relationships" ref="M15" r:id="rId22"/>
    <hyperlink xmlns:r="http://schemas.openxmlformats.org/officeDocument/2006/relationships" ref="L16" r:id="rId23"/>
    <hyperlink xmlns:r="http://schemas.openxmlformats.org/officeDocument/2006/relationships" ref="M16" r:id="rId24"/>
    <hyperlink xmlns:r="http://schemas.openxmlformats.org/officeDocument/2006/relationships" ref="L17" r:id="rId25"/>
    <hyperlink xmlns:r="http://schemas.openxmlformats.org/officeDocument/2006/relationships" ref="M17" r:id="rId26"/>
    <hyperlink xmlns:r="http://schemas.openxmlformats.org/officeDocument/2006/relationships" ref="L18" r:id="rId27"/>
    <hyperlink xmlns:r="http://schemas.openxmlformats.org/officeDocument/2006/relationships" ref="M18" r:id="rId28"/>
    <hyperlink xmlns:r="http://schemas.openxmlformats.org/officeDocument/2006/relationships" ref="L19" r:id="rId29"/>
    <hyperlink xmlns:r="http://schemas.openxmlformats.org/officeDocument/2006/relationships" ref="M19" r:id="rId30"/>
    <hyperlink xmlns:r="http://schemas.openxmlformats.org/officeDocument/2006/relationships" ref="L20" r:id="rId31"/>
    <hyperlink xmlns:r="http://schemas.openxmlformats.org/officeDocument/2006/relationships" ref="M20" r:id="rId32"/>
    <hyperlink xmlns:r="http://schemas.openxmlformats.org/officeDocument/2006/relationships" ref="L21" r:id="rId33"/>
    <hyperlink xmlns:r="http://schemas.openxmlformats.org/officeDocument/2006/relationships" ref="M21" r:id="rId34"/>
    <hyperlink xmlns:r="http://schemas.openxmlformats.org/officeDocument/2006/relationships" ref="L22" r:id="rId35"/>
    <hyperlink xmlns:r="http://schemas.openxmlformats.org/officeDocument/2006/relationships" ref="M22" r:id="rId36"/>
    <hyperlink xmlns:r="http://schemas.openxmlformats.org/officeDocument/2006/relationships" ref="L23" r:id="rId37"/>
    <hyperlink xmlns:r="http://schemas.openxmlformats.org/officeDocument/2006/relationships" ref="M23" r:id="rId38"/>
    <hyperlink xmlns:r="http://schemas.openxmlformats.org/officeDocument/2006/relationships" ref="L24" r:id="rId39"/>
    <hyperlink xmlns:r="http://schemas.openxmlformats.org/officeDocument/2006/relationships" ref="M24" r:id="rId40"/>
    <hyperlink xmlns:r="http://schemas.openxmlformats.org/officeDocument/2006/relationships" ref="L25" r:id="rId41"/>
    <hyperlink xmlns:r="http://schemas.openxmlformats.org/officeDocument/2006/relationships" ref="M25" r:id="rId42"/>
    <hyperlink xmlns:r="http://schemas.openxmlformats.org/officeDocument/2006/relationships" ref="L26" r:id="rId43"/>
    <hyperlink xmlns:r="http://schemas.openxmlformats.org/officeDocument/2006/relationships" ref="M26" r:id="rId44"/>
    <hyperlink xmlns:r="http://schemas.openxmlformats.org/officeDocument/2006/relationships" ref="L27" r:id="rId45"/>
    <hyperlink xmlns:r="http://schemas.openxmlformats.org/officeDocument/2006/relationships" ref="M27" r:id="rId46"/>
    <hyperlink xmlns:r="http://schemas.openxmlformats.org/officeDocument/2006/relationships" ref="L28" r:id="rId47"/>
    <hyperlink xmlns:r="http://schemas.openxmlformats.org/officeDocument/2006/relationships" ref="M28" r:id="rId48"/>
    <hyperlink xmlns:r="http://schemas.openxmlformats.org/officeDocument/2006/relationships" ref="L29" r:id="rId49"/>
    <hyperlink xmlns:r="http://schemas.openxmlformats.org/officeDocument/2006/relationships" ref="M29" r:id="rId50"/>
    <hyperlink xmlns:r="http://schemas.openxmlformats.org/officeDocument/2006/relationships" ref="L30" r:id="rId51"/>
    <hyperlink xmlns:r="http://schemas.openxmlformats.org/officeDocument/2006/relationships" ref="M30" r:id="rId52"/>
    <hyperlink xmlns:r="http://schemas.openxmlformats.org/officeDocument/2006/relationships" ref="L31" r:id="rId53"/>
    <hyperlink xmlns:r="http://schemas.openxmlformats.org/officeDocument/2006/relationships" ref="M31" r:id="rId54"/>
    <hyperlink xmlns:r="http://schemas.openxmlformats.org/officeDocument/2006/relationships" ref="L32" r:id="rId55"/>
    <hyperlink xmlns:r="http://schemas.openxmlformats.org/officeDocument/2006/relationships" ref="M32" r:id="rId56"/>
    <hyperlink xmlns:r="http://schemas.openxmlformats.org/officeDocument/2006/relationships" ref="L33" r:id="rId57"/>
    <hyperlink xmlns:r="http://schemas.openxmlformats.org/officeDocument/2006/relationships" ref="M33" r:id="rId58"/>
    <hyperlink xmlns:r="http://schemas.openxmlformats.org/officeDocument/2006/relationships" ref="L34" r:id="rId59"/>
    <hyperlink xmlns:r="http://schemas.openxmlformats.org/officeDocument/2006/relationships" ref="M34" r:id="rId60"/>
    <hyperlink xmlns:r="http://schemas.openxmlformats.org/officeDocument/2006/relationships" ref="L35" r:id="rId61"/>
    <hyperlink xmlns:r="http://schemas.openxmlformats.org/officeDocument/2006/relationships" ref="M35" r:id="rId62"/>
    <hyperlink xmlns:r="http://schemas.openxmlformats.org/officeDocument/2006/relationships" ref="L36" r:id="rId63"/>
    <hyperlink xmlns:r="http://schemas.openxmlformats.org/officeDocument/2006/relationships" ref="M36" r:id="rId64"/>
    <hyperlink xmlns:r="http://schemas.openxmlformats.org/officeDocument/2006/relationships" ref="L37" r:id="rId65"/>
    <hyperlink xmlns:r="http://schemas.openxmlformats.org/officeDocument/2006/relationships" ref="M37" r:id="rId66"/>
    <hyperlink xmlns:r="http://schemas.openxmlformats.org/officeDocument/2006/relationships" ref="L38" r:id="rId67"/>
    <hyperlink xmlns:r="http://schemas.openxmlformats.org/officeDocument/2006/relationships" ref="M38" r:id="rId68"/>
    <hyperlink xmlns:r="http://schemas.openxmlformats.org/officeDocument/2006/relationships" ref="L39" r:id="rId69"/>
    <hyperlink xmlns:r="http://schemas.openxmlformats.org/officeDocument/2006/relationships" ref="M39" r:id="rId70"/>
    <hyperlink xmlns:r="http://schemas.openxmlformats.org/officeDocument/2006/relationships" ref="L40" r:id="rId71"/>
    <hyperlink xmlns:r="http://schemas.openxmlformats.org/officeDocument/2006/relationships" ref="M40" r:id="rId72"/>
    <hyperlink xmlns:r="http://schemas.openxmlformats.org/officeDocument/2006/relationships" ref="L41" r:id="rId73"/>
    <hyperlink xmlns:r="http://schemas.openxmlformats.org/officeDocument/2006/relationships" ref="M41" r:id="rId74"/>
    <hyperlink xmlns:r="http://schemas.openxmlformats.org/officeDocument/2006/relationships" ref="L42" r:id="rId75"/>
    <hyperlink xmlns:r="http://schemas.openxmlformats.org/officeDocument/2006/relationships" ref="M42" r:id="rId76"/>
    <hyperlink xmlns:r="http://schemas.openxmlformats.org/officeDocument/2006/relationships" ref="L43" r:id="rId77"/>
    <hyperlink xmlns:r="http://schemas.openxmlformats.org/officeDocument/2006/relationships" ref="M43" r:id="rId78"/>
    <hyperlink xmlns:r="http://schemas.openxmlformats.org/officeDocument/2006/relationships" ref="L44" r:id="rId79"/>
    <hyperlink xmlns:r="http://schemas.openxmlformats.org/officeDocument/2006/relationships" ref="M44" r:id="rId80"/>
    <hyperlink xmlns:r="http://schemas.openxmlformats.org/officeDocument/2006/relationships" ref="L45" r:id="rId81"/>
    <hyperlink xmlns:r="http://schemas.openxmlformats.org/officeDocument/2006/relationships" ref="M45" r:id="rId82"/>
    <hyperlink xmlns:r="http://schemas.openxmlformats.org/officeDocument/2006/relationships" ref="L46" r:id="rId83"/>
    <hyperlink xmlns:r="http://schemas.openxmlformats.org/officeDocument/2006/relationships" ref="M46" r:id="rId84"/>
    <hyperlink xmlns:r="http://schemas.openxmlformats.org/officeDocument/2006/relationships" ref="L47" r:id="rId85"/>
    <hyperlink xmlns:r="http://schemas.openxmlformats.org/officeDocument/2006/relationships" ref="M47" r:id="rId86"/>
    <hyperlink xmlns:r="http://schemas.openxmlformats.org/officeDocument/2006/relationships" ref="L48" r:id="rId87"/>
    <hyperlink xmlns:r="http://schemas.openxmlformats.org/officeDocument/2006/relationships" ref="M48" r:id="rId88"/>
    <hyperlink xmlns:r="http://schemas.openxmlformats.org/officeDocument/2006/relationships" ref="L49" r:id="rId89"/>
    <hyperlink xmlns:r="http://schemas.openxmlformats.org/officeDocument/2006/relationships" ref="M49" r:id="rId90"/>
    <hyperlink xmlns:r="http://schemas.openxmlformats.org/officeDocument/2006/relationships" ref="L50" r:id="rId91"/>
    <hyperlink xmlns:r="http://schemas.openxmlformats.org/officeDocument/2006/relationships" ref="M50" r:id="rId92"/>
    <hyperlink xmlns:r="http://schemas.openxmlformats.org/officeDocument/2006/relationships" ref="L51" r:id="rId93"/>
    <hyperlink xmlns:r="http://schemas.openxmlformats.org/officeDocument/2006/relationships" ref="M51" r:id="rId94"/>
    <hyperlink xmlns:r="http://schemas.openxmlformats.org/officeDocument/2006/relationships" ref="L52" r:id="rId95"/>
    <hyperlink xmlns:r="http://schemas.openxmlformats.org/officeDocument/2006/relationships" ref="M52" r:id="rId96"/>
    <hyperlink xmlns:r="http://schemas.openxmlformats.org/officeDocument/2006/relationships" ref="L53" r:id="rId97"/>
    <hyperlink xmlns:r="http://schemas.openxmlformats.org/officeDocument/2006/relationships" ref="M53" r:id="rId98"/>
    <hyperlink xmlns:r="http://schemas.openxmlformats.org/officeDocument/2006/relationships" ref="L54" r:id="rId99"/>
    <hyperlink xmlns:r="http://schemas.openxmlformats.org/officeDocument/2006/relationships" ref="M54" r:id="rId100"/>
    <hyperlink xmlns:r="http://schemas.openxmlformats.org/officeDocument/2006/relationships" ref="L55" r:id="rId101"/>
    <hyperlink xmlns:r="http://schemas.openxmlformats.org/officeDocument/2006/relationships" ref="M55" r:id="rId102"/>
    <hyperlink xmlns:r="http://schemas.openxmlformats.org/officeDocument/2006/relationships" ref="L56" r:id="rId103"/>
    <hyperlink xmlns:r="http://schemas.openxmlformats.org/officeDocument/2006/relationships" ref="M56" r:id="rId104"/>
    <hyperlink xmlns:r="http://schemas.openxmlformats.org/officeDocument/2006/relationships" ref="L57" r:id="rId105"/>
    <hyperlink xmlns:r="http://schemas.openxmlformats.org/officeDocument/2006/relationships" ref="M57" r:id="rId106"/>
    <hyperlink xmlns:r="http://schemas.openxmlformats.org/officeDocument/2006/relationships" ref="L58" r:id="rId107"/>
    <hyperlink xmlns:r="http://schemas.openxmlformats.org/officeDocument/2006/relationships" ref="M58" r:id="rId108"/>
    <hyperlink xmlns:r="http://schemas.openxmlformats.org/officeDocument/2006/relationships" ref="L59" r:id="rId109"/>
    <hyperlink xmlns:r="http://schemas.openxmlformats.org/officeDocument/2006/relationships" ref="M59" r:id="rId110"/>
    <hyperlink xmlns:r="http://schemas.openxmlformats.org/officeDocument/2006/relationships" ref="L60" r:id="rId111"/>
    <hyperlink xmlns:r="http://schemas.openxmlformats.org/officeDocument/2006/relationships" ref="M60" r:id="rId112"/>
    <hyperlink xmlns:r="http://schemas.openxmlformats.org/officeDocument/2006/relationships" ref="L61" r:id="rId113"/>
    <hyperlink xmlns:r="http://schemas.openxmlformats.org/officeDocument/2006/relationships" ref="M61" r:id="rId114"/>
    <hyperlink xmlns:r="http://schemas.openxmlformats.org/officeDocument/2006/relationships" ref="L62" r:id="rId115"/>
    <hyperlink xmlns:r="http://schemas.openxmlformats.org/officeDocument/2006/relationships" ref="M62" r:id="rId116"/>
    <hyperlink xmlns:r="http://schemas.openxmlformats.org/officeDocument/2006/relationships" ref="L63" r:id="rId117"/>
    <hyperlink xmlns:r="http://schemas.openxmlformats.org/officeDocument/2006/relationships" ref="M63" r:id="rId118"/>
    <hyperlink xmlns:r="http://schemas.openxmlformats.org/officeDocument/2006/relationships" ref="L64" r:id="rId119"/>
    <hyperlink xmlns:r="http://schemas.openxmlformats.org/officeDocument/2006/relationships" ref="M64" r:id="rId120"/>
    <hyperlink xmlns:r="http://schemas.openxmlformats.org/officeDocument/2006/relationships" ref="L65" r:id="rId121"/>
    <hyperlink xmlns:r="http://schemas.openxmlformats.org/officeDocument/2006/relationships" ref="M65" r:id="rId122"/>
    <hyperlink xmlns:r="http://schemas.openxmlformats.org/officeDocument/2006/relationships" ref="L66" r:id="rId123"/>
    <hyperlink xmlns:r="http://schemas.openxmlformats.org/officeDocument/2006/relationships" ref="M66" r:id="rId124"/>
    <hyperlink xmlns:r="http://schemas.openxmlformats.org/officeDocument/2006/relationships" ref="L67" r:id="rId125"/>
    <hyperlink xmlns:r="http://schemas.openxmlformats.org/officeDocument/2006/relationships" ref="M67" r:id="rId126"/>
    <hyperlink xmlns:r="http://schemas.openxmlformats.org/officeDocument/2006/relationships" ref="L68" r:id="rId127"/>
    <hyperlink xmlns:r="http://schemas.openxmlformats.org/officeDocument/2006/relationships" ref="M68" r:id="rId128"/>
    <hyperlink xmlns:r="http://schemas.openxmlformats.org/officeDocument/2006/relationships" ref="L69" r:id="rId129"/>
    <hyperlink xmlns:r="http://schemas.openxmlformats.org/officeDocument/2006/relationships" ref="M69" r:id="rId130"/>
    <hyperlink xmlns:r="http://schemas.openxmlformats.org/officeDocument/2006/relationships" ref="L70" r:id="rId131"/>
    <hyperlink xmlns:r="http://schemas.openxmlformats.org/officeDocument/2006/relationships" ref="M70" r:id="rId132"/>
    <hyperlink xmlns:r="http://schemas.openxmlformats.org/officeDocument/2006/relationships" ref="L71" r:id="rId133"/>
    <hyperlink xmlns:r="http://schemas.openxmlformats.org/officeDocument/2006/relationships" ref="M71" r:id="rId134"/>
    <hyperlink xmlns:r="http://schemas.openxmlformats.org/officeDocument/2006/relationships" ref="L72" r:id="rId135"/>
    <hyperlink xmlns:r="http://schemas.openxmlformats.org/officeDocument/2006/relationships" ref="M72" r:id="rId136"/>
    <hyperlink xmlns:r="http://schemas.openxmlformats.org/officeDocument/2006/relationships" ref="L73" r:id="rId137"/>
    <hyperlink xmlns:r="http://schemas.openxmlformats.org/officeDocument/2006/relationships" ref="M73" r:id="rId138"/>
    <hyperlink xmlns:r="http://schemas.openxmlformats.org/officeDocument/2006/relationships" ref="L74" r:id="rId139"/>
    <hyperlink xmlns:r="http://schemas.openxmlformats.org/officeDocument/2006/relationships" ref="M74" r:id="rId140"/>
    <hyperlink xmlns:r="http://schemas.openxmlformats.org/officeDocument/2006/relationships" ref="L75" r:id="rId141"/>
    <hyperlink xmlns:r="http://schemas.openxmlformats.org/officeDocument/2006/relationships" ref="M75" r:id="rId142"/>
    <hyperlink xmlns:r="http://schemas.openxmlformats.org/officeDocument/2006/relationships" ref="L76" r:id="rId143"/>
    <hyperlink xmlns:r="http://schemas.openxmlformats.org/officeDocument/2006/relationships" ref="M76" r:id="rId144"/>
    <hyperlink xmlns:r="http://schemas.openxmlformats.org/officeDocument/2006/relationships" ref="L77" r:id="rId145"/>
    <hyperlink xmlns:r="http://schemas.openxmlformats.org/officeDocument/2006/relationships" ref="M77" r:id="rId146"/>
    <hyperlink xmlns:r="http://schemas.openxmlformats.org/officeDocument/2006/relationships" ref="L78" r:id="rId147"/>
    <hyperlink xmlns:r="http://schemas.openxmlformats.org/officeDocument/2006/relationships" ref="M78" r:id="rId148"/>
    <hyperlink xmlns:r="http://schemas.openxmlformats.org/officeDocument/2006/relationships" ref="L79" r:id="rId149"/>
    <hyperlink xmlns:r="http://schemas.openxmlformats.org/officeDocument/2006/relationships" ref="M79" r:id="rId150"/>
    <hyperlink xmlns:r="http://schemas.openxmlformats.org/officeDocument/2006/relationships" ref="L80" r:id="rId151"/>
    <hyperlink xmlns:r="http://schemas.openxmlformats.org/officeDocument/2006/relationships" ref="M80" r:id="rId152"/>
    <hyperlink xmlns:r="http://schemas.openxmlformats.org/officeDocument/2006/relationships" ref="L81" r:id="rId153"/>
    <hyperlink xmlns:r="http://schemas.openxmlformats.org/officeDocument/2006/relationships" ref="M81" r:id="rId154"/>
    <hyperlink xmlns:r="http://schemas.openxmlformats.org/officeDocument/2006/relationships" ref="L82" r:id="rId155"/>
    <hyperlink xmlns:r="http://schemas.openxmlformats.org/officeDocument/2006/relationships" ref="M82" r:id="rId156"/>
    <hyperlink xmlns:r="http://schemas.openxmlformats.org/officeDocument/2006/relationships" ref="L83" r:id="rId157"/>
    <hyperlink xmlns:r="http://schemas.openxmlformats.org/officeDocument/2006/relationships" ref="M83" r:id="rId158"/>
    <hyperlink xmlns:r="http://schemas.openxmlformats.org/officeDocument/2006/relationships" ref="L84" r:id="rId159"/>
    <hyperlink xmlns:r="http://schemas.openxmlformats.org/officeDocument/2006/relationships" ref="M84" r:id="rId160"/>
    <hyperlink xmlns:r="http://schemas.openxmlformats.org/officeDocument/2006/relationships" ref="L85" r:id="rId161"/>
    <hyperlink xmlns:r="http://schemas.openxmlformats.org/officeDocument/2006/relationships" ref="M85" r:id="rId162"/>
    <hyperlink xmlns:r="http://schemas.openxmlformats.org/officeDocument/2006/relationships" ref="L86" r:id="rId163"/>
    <hyperlink xmlns:r="http://schemas.openxmlformats.org/officeDocument/2006/relationships" ref="M86" r:id="rId164"/>
    <hyperlink xmlns:r="http://schemas.openxmlformats.org/officeDocument/2006/relationships" ref="L87" r:id="rId165"/>
    <hyperlink xmlns:r="http://schemas.openxmlformats.org/officeDocument/2006/relationships" ref="M87" r:id="rId166"/>
    <hyperlink xmlns:r="http://schemas.openxmlformats.org/officeDocument/2006/relationships" ref="L88" r:id="rId167"/>
    <hyperlink xmlns:r="http://schemas.openxmlformats.org/officeDocument/2006/relationships" ref="M88" r:id="rId168"/>
    <hyperlink xmlns:r="http://schemas.openxmlformats.org/officeDocument/2006/relationships" ref="L89" r:id="rId169"/>
    <hyperlink xmlns:r="http://schemas.openxmlformats.org/officeDocument/2006/relationships" ref="M89" r:id="rId170"/>
    <hyperlink xmlns:r="http://schemas.openxmlformats.org/officeDocument/2006/relationships" ref="L90" r:id="rId171"/>
    <hyperlink xmlns:r="http://schemas.openxmlformats.org/officeDocument/2006/relationships" ref="M90" r:id="rId172"/>
    <hyperlink xmlns:r="http://schemas.openxmlformats.org/officeDocument/2006/relationships" ref="L91" r:id="rId173"/>
    <hyperlink xmlns:r="http://schemas.openxmlformats.org/officeDocument/2006/relationships" ref="M91" r:id="rId174"/>
    <hyperlink xmlns:r="http://schemas.openxmlformats.org/officeDocument/2006/relationships" ref="L92" r:id="rId175"/>
    <hyperlink xmlns:r="http://schemas.openxmlformats.org/officeDocument/2006/relationships" ref="M92" r:id="rId176"/>
    <hyperlink xmlns:r="http://schemas.openxmlformats.org/officeDocument/2006/relationships" ref="L93" r:id="rId177"/>
    <hyperlink xmlns:r="http://schemas.openxmlformats.org/officeDocument/2006/relationships" ref="M93" r:id="rId178"/>
    <hyperlink xmlns:r="http://schemas.openxmlformats.org/officeDocument/2006/relationships" ref="L94" r:id="rId179"/>
    <hyperlink xmlns:r="http://schemas.openxmlformats.org/officeDocument/2006/relationships" ref="M94" r:id="rId180"/>
    <hyperlink xmlns:r="http://schemas.openxmlformats.org/officeDocument/2006/relationships" ref="L95" r:id="rId181"/>
    <hyperlink xmlns:r="http://schemas.openxmlformats.org/officeDocument/2006/relationships" ref="M95" r:id="rId182"/>
    <hyperlink xmlns:r="http://schemas.openxmlformats.org/officeDocument/2006/relationships" ref="L96" r:id="rId183"/>
    <hyperlink xmlns:r="http://schemas.openxmlformats.org/officeDocument/2006/relationships" ref="M96" r:id="rId184"/>
    <hyperlink xmlns:r="http://schemas.openxmlformats.org/officeDocument/2006/relationships" ref="L97" r:id="rId185"/>
    <hyperlink xmlns:r="http://schemas.openxmlformats.org/officeDocument/2006/relationships" ref="M97" r:id="rId186"/>
    <hyperlink xmlns:r="http://schemas.openxmlformats.org/officeDocument/2006/relationships" ref="L98" r:id="rId187"/>
    <hyperlink xmlns:r="http://schemas.openxmlformats.org/officeDocument/2006/relationships" ref="M98" r:id="rId188"/>
    <hyperlink xmlns:r="http://schemas.openxmlformats.org/officeDocument/2006/relationships" ref="L99" r:id="rId189"/>
    <hyperlink xmlns:r="http://schemas.openxmlformats.org/officeDocument/2006/relationships" ref="M99" r:id="rId190"/>
    <hyperlink xmlns:r="http://schemas.openxmlformats.org/officeDocument/2006/relationships" ref="L100" r:id="rId191"/>
    <hyperlink xmlns:r="http://schemas.openxmlformats.org/officeDocument/2006/relationships" ref="M100" r:id="rId192"/>
    <hyperlink xmlns:r="http://schemas.openxmlformats.org/officeDocument/2006/relationships" ref="L101" r:id="rId193"/>
    <hyperlink xmlns:r="http://schemas.openxmlformats.org/officeDocument/2006/relationships" ref="M101" r:id="rId194"/>
    <hyperlink xmlns:r="http://schemas.openxmlformats.org/officeDocument/2006/relationships" ref="L102" r:id="rId195"/>
    <hyperlink xmlns:r="http://schemas.openxmlformats.org/officeDocument/2006/relationships" ref="M102" r:id="rId196"/>
    <hyperlink xmlns:r="http://schemas.openxmlformats.org/officeDocument/2006/relationships" ref="L103" r:id="rId197"/>
    <hyperlink xmlns:r="http://schemas.openxmlformats.org/officeDocument/2006/relationships" ref="M103" r:id="rId198"/>
    <hyperlink xmlns:r="http://schemas.openxmlformats.org/officeDocument/2006/relationships" ref="L104" r:id="rId199"/>
    <hyperlink xmlns:r="http://schemas.openxmlformats.org/officeDocument/2006/relationships" ref="M104" r:id="rId200"/>
    <hyperlink xmlns:r="http://schemas.openxmlformats.org/officeDocument/2006/relationships" ref="L105" r:id="rId201"/>
    <hyperlink xmlns:r="http://schemas.openxmlformats.org/officeDocument/2006/relationships" ref="M105" r:id="rId202"/>
    <hyperlink xmlns:r="http://schemas.openxmlformats.org/officeDocument/2006/relationships" ref="L106" r:id="rId203"/>
    <hyperlink xmlns:r="http://schemas.openxmlformats.org/officeDocument/2006/relationships" ref="M106" r:id="rId204"/>
    <hyperlink xmlns:r="http://schemas.openxmlformats.org/officeDocument/2006/relationships" ref="L107" r:id="rId205"/>
    <hyperlink xmlns:r="http://schemas.openxmlformats.org/officeDocument/2006/relationships" ref="M107" r:id="rId206"/>
    <hyperlink xmlns:r="http://schemas.openxmlformats.org/officeDocument/2006/relationships" ref="L108" r:id="rId207"/>
    <hyperlink xmlns:r="http://schemas.openxmlformats.org/officeDocument/2006/relationships" ref="M108" r:id="rId208"/>
    <hyperlink xmlns:r="http://schemas.openxmlformats.org/officeDocument/2006/relationships" ref="L109" r:id="rId209"/>
    <hyperlink xmlns:r="http://schemas.openxmlformats.org/officeDocument/2006/relationships" ref="M109" r:id="rId210"/>
    <hyperlink xmlns:r="http://schemas.openxmlformats.org/officeDocument/2006/relationships" ref="L110" r:id="rId211"/>
    <hyperlink xmlns:r="http://schemas.openxmlformats.org/officeDocument/2006/relationships" ref="M110" r:id="rId212"/>
    <hyperlink xmlns:r="http://schemas.openxmlformats.org/officeDocument/2006/relationships" ref="L111" r:id="rId213"/>
    <hyperlink xmlns:r="http://schemas.openxmlformats.org/officeDocument/2006/relationships" ref="M111" r:id="rId214"/>
    <hyperlink xmlns:r="http://schemas.openxmlformats.org/officeDocument/2006/relationships" ref="L112" r:id="rId215"/>
    <hyperlink xmlns:r="http://schemas.openxmlformats.org/officeDocument/2006/relationships" ref="M112" r:id="rId216"/>
    <hyperlink xmlns:r="http://schemas.openxmlformats.org/officeDocument/2006/relationships" ref="L113" r:id="rId217"/>
    <hyperlink xmlns:r="http://schemas.openxmlformats.org/officeDocument/2006/relationships" ref="M113" r:id="rId218"/>
    <hyperlink xmlns:r="http://schemas.openxmlformats.org/officeDocument/2006/relationships" ref="L114" r:id="rId219"/>
    <hyperlink xmlns:r="http://schemas.openxmlformats.org/officeDocument/2006/relationships" ref="M114" r:id="rId220"/>
    <hyperlink xmlns:r="http://schemas.openxmlformats.org/officeDocument/2006/relationships" ref="L115" r:id="rId221"/>
    <hyperlink xmlns:r="http://schemas.openxmlformats.org/officeDocument/2006/relationships" ref="M115" r:id="rId222"/>
    <hyperlink xmlns:r="http://schemas.openxmlformats.org/officeDocument/2006/relationships" ref="L116" r:id="rId223"/>
    <hyperlink xmlns:r="http://schemas.openxmlformats.org/officeDocument/2006/relationships" ref="M116" r:id="rId224"/>
    <hyperlink xmlns:r="http://schemas.openxmlformats.org/officeDocument/2006/relationships" ref="L117" r:id="rId225"/>
    <hyperlink xmlns:r="http://schemas.openxmlformats.org/officeDocument/2006/relationships" ref="M117" r:id="rId226"/>
    <hyperlink xmlns:r="http://schemas.openxmlformats.org/officeDocument/2006/relationships" ref="L118" r:id="rId227"/>
    <hyperlink xmlns:r="http://schemas.openxmlformats.org/officeDocument/2006/relationships" ref="M118" r:id="rId228"/>
    <hyperlink xmlns:r="http://schemas.openxmlformats.org/officeDocument/2006/relationships" ref="L119" r:id="rId229"/>
    <hyperlink xmlns:r="http://schemas.openxmlformats.org/officeDocument/2006/relationships" ref="M119" r:id="rId230"/>
    <hyperlink xmlns:r="http://schemas.openxmlformats.org/officeDocument/2006/relationships" ref="L120" r:id="rId231"/>
    <hyperlink xmlns:r="http://schemas.openxmlformats.org/officeDocument/2006/relationships" ref="M120" r:id="rId232"/>
    <hyperlink xmlns:r="http://schemas.openxmlformats.org/officeDocument/2006/relationships" ref="L121" r:id="rId233"/>
    <hyperlink xmlns:r="http://schemas.openxmlformats.org/officeDocument/2006/relationships" ref="M121" r:id="rId234"/>
    <hyperlink xmlns:r="http://schemas.openxmlformats.org/officeDocument/2006/relationships" ref="L122" r:id="rId235"/>
    <hyperlink xmlns:r="http://schemas.openxmlformats.org/officeDocument/2006/relationships" ref="M122" r:id="rId236"/>
    <hyperlink xmlns:r="http://schemas.openxmlformats.org/officeDocument/2006/relationships" ref="L123" r:id="rId237"/>
    <hyperlink xmlns:r="http://schemas.openxmlformats.org/officeDocument/2006/relationships" ref="M123" r:id="rId238"/>
    <hyperlink xmlns:r="http://schemas.openxmlformats.org/officeDocument/2006/relationships" ref="L124" r:id="rId239"/>
    <hyperlink xmlns:r="http://schemas.openxmlformats.org/officeDocument/2006/relationships" ref="M124" r:id="rId240"/>
    <hyperlink xmlns:r="http://schemas.openxmlformats.org/officeDocument/2006/relationships" ref="L125" r:id="rId241"/>
    <hyperlink xmlns:r="http://schemas.openxmlformats.org/officeDocument/2006/relationships" ref="M125" r:id="rId242"/>
    <hyperlink xmlns:r="http://schemas.openxmlformats.org/officeDocument/2006/relationships" ref="L126" r:id="rId243"/>
    <hyperlink xmlns:r="http://schemas.openxmlformats.org/officeDocument/2006/relationships" ref="M126" r:id="rId244"/>
    <hyperlink xmlns:r="http://schemas.openxmlformats.org/officeDocument/2006/relationships" ref="L127" r:id="rId245"/>
    <hyperlink xmlns:r="http://schemas.openxmlformats.org/officeDocument/2006/relationships" ref="M127" r:id="rId246"/>
    <hyperlink xmlns:r="http://schemas.openxmlformats.org/officeDocument/2006/relationships" ref="L128" r:id="rId247"/>
    <hyperlink xmlns:r="http://schemas.openxmlformats.org/officeDocument/2006/relationships" ref="M128" r:id="rId248"/>
    <hyperlink xmlns:r="http://schemas.openxmlformats.org/officeDocument/2006/relationships" ref="L129" r:id="rId249"/>
    <hyperlink xmlns:r="http://schemas.openxmlformats.org/officeDocument/2006/relationships" ref="M129" r:id="rId250"/>
    <hyperlink xmlns:r="http://schemas.openxmlformats.org/officeDocument/2006/relationships" ref="L130" r:id="rId251"/>
    <hyperlink xmlns:r="http://schemas.openxmlformats.org/officeDocument/2006/relationships" ref="M130" r:id="rId252"/>
    <hyperlink xmlns:r="http://schemas.openxmlformats.org/officeDocument/2006/relationships" ref="L131" r:id="rId253"/>
    <hyperlink xmlns:r="http://schemas.openxmlformats.org/officeDocument/2006/relationships" ref="M131" r:id="rId254"/>
    <hyperlink xmlns:r="http://schemas.openxmlformats.org/officeDocument/2006/relationships" ref="L132" r:id="rId255"/>
    <hyperlink xmlns:r="http://schemas.openxmlformats.org/officeDocument/2006/relationships" ref="M132" r:id="rId256"/>
    <hyperlink xmlns:r="http://schemas.openxmlformats.org/officeDocument/2006/relationships" ref="L133" r:id="rId257"/>
    <hyperlink xmlns:r="http://schemas.openxmlformats.org/officeDocument/2006/relationships" ref="M133" r:id="rId258"/>
    <hyperlink xmlns:r="http://schemas.openxmlformats.org/officeDocument/2006/relationships" ref="L134" r:id="rId259"/>
    <hyperlink xmlns:r="http://schemas.openxmlformats.org/officeDocument/2006/relationships" ref="M134" r:id="rId260"/>
    <hyperlink xmlns:r="http://schemas.openxmlformats.org/officeDocument/2006/relationships" ref="L135" r:id="rId261"/>
    <hyperlink xmlns:r="http://schemas.openxmlformats.org/officeDocument/2006/relationships" ref="M135" r:id="rId262"/>
    <hyperlink xmlns:r="http://schemas.openxmlformats.org/officeDocument/2006/relationships" ref="L136" r:id="rId263"/>
    <hyperlink xmlns:r="http://schemas.openxmlformats.org/officeDocument/2006/relationships" ref="M136" r:id="rId264"/>
    <hyperlink xmlns:r="http://schemas.openxmlformats.org/officeDocument/2006/relationships" ref="L137" r:id="rId265"/>
    <hyperlink xmlns:r="http://schemas.openxmlformats.org/officeDocument/2006/relationships" ref="M137" r:id="rId266"/>
    <hyperlink xmlns:r="http://schemas.openxmlformats.org/officeDocument/2006/relationships" ref="L138" r:id="rId267"/>
    <hyperlink xmlns:r="http://schemas.openxmlformats.org/officeDocument/2006/relationships" ref="M138" r:id="rId268"/>
    <hyperlink xmlns:r="http://schemas.openxmlformats.org/officeDocument/2006/relationships" ref="L139" r:id="rId269"/>
    <hyperlink xmlns:r="http://schemas.openxmlformats.org/officeDocument/2006/relationships" ref="M139" r:id="rId270"/>
    <hyperlink xmlns:r="http://schemas.openxmlformats.org/officeDocument/2006/relationships" ref="L140" r:id="rId271"/>
    <hyperlink xmlns:r="http://schemas.openxmlformats.org/officeDocument/2006/relationships" ref="M140" r:id="rId272"/>
    <hyperlink xmlns:r="http://schemas.openxmlformats.org/officeDocument/2006/relationships" ref="L141" r:id="rId273"/>
    <hyperlink xmlns:r="http://schemas.openxmlformats.org/officeDocument/2006/relationships" ref="M141" r:id="rId274"/>
    <hyperlink xmlns:r="http://schemas.openxmlformats.org/officeDocument/2006/relationships" ref="L142" r:id="rId275"/>
    <hyperlink xmlns:r="http://schemas.openxmlformats.org/officeDocument/2006/relationships" ref="M142" r:id="rId276"/>
    <hyperlink xmlns:r="http://schemas.openxmlformats.org/officeDocument/2006/relationships" ref="L143" r:id="rId277"/>
    <hyperlink xmlns:r="http://schemas.openxmlformats.org/officeDocument/2006/relationships" ref="M143" r:id="rId278"/>
    <hyperlink xmlns:r="http://schemas.openxmlformats.org/officeDocument/2006/relationships" ref="L144" r:id="rId279"/>
    <hyperlink xmlns:r="http://schemas.openxmlformats.org/officeDocument/2006/relationships" ref="M144" r:id="rId280"/>
    <hyperlink xmlns:r="http://schemas.openxmlformats.org/officeDocument/2006/relationships" ref="L145" r:id="rId281"/>
    <hyperlink xmlns:r="http://schemas.openxmlformats.org/officeDocument/2006/relationships" ref="M145" r:id="rId282"/>
    <hyperlink xmlns:r="http://schemas.openxmlformats.org/officeDocument/2006/relationships" ref="L146" r:id="rId283"/>
    <hyperlink xmlns:r="http://schemas.openxmlformats.org/officeDocument/2006/relationships" ref="M146" r:id="rId284"/>
    <hyperlink xmlns:r="http://schemas.openxmlformats.org/officeDocument/2006/relationships" ref="L147" r:id="rId285"/>
    <hyperlink xmlns:r="http://schemas.openxmlformats.org/officeDocument/2006/relationships" ref="M147" r:id="rId286"/>
    <hyperlink xmlns:r="http://schemas.openxmlformats.org/officeDocument/2006/relationships" ref="L148" r:id="rId287"/>
    <hyperlink xmlns:r="http://schemas.openxmlformats.org/officeDocument/2006/relationships" ref="M148" r:id="rId288"/>
    <hyperlink xmlns:r="http://schemas.openxmlformats.org/officeDocument/2006/relationships" ref="L149" r:id="rId289"/>
    <hyperlink xmlns:r="http://schemas.openxmlformats.org/officeDocument/2006/relationships" ref="M149" r:id="rId290"/>
    <hyperlink xmlns:r="http://schemas.openxmlformats.org/officeDocument/2006/relationships" ref="L150" r:id="rId291"/>
    <hyperlink xmlns:r="http://schemas.openxmlformats.org/officeDocument/2006/relationships" ref="M150" r:id="rId292"/>
    <hyperlink xmlns:r="http://schemas.openxmlformats.org/officeDocument/2006/relationships" ref="L151" r:id="rId293"/>
    <hyperlink xmlns:r="http://schemas.openxmlformats.org/officeDocument/2006/relationships" ref="M151" r:id="rId294"/>
    <hyperlink xmlns:r="http://schemas.openxmlformats.org/officeDocument/2006/relationships" ref="L152" r:id="rId295"/>
    <hyperlink xmlns:r="http://schemas.openxmlformats.org/officeDocument/2006/relationships" ref="M152" r:id="rId296"/>
    <hyperlink xmlns:r="http://schemas.openxmlformats.org/officeDocument/2006/relationships" ref="L153" r:id="rId297"/>
    <hyperlink xmlns:r="http://schemas.openxmlformats.org/officeDocument/2006/relationships" ref="M153" r:id="rId298"/>
    <hyperlink xmlns:r="http://schemas.openxmlformats.org/officeDocument/2006/relationships" ref="L154" r:id="rId299"/>
    <hyperlink xmlns:r="http://schemas.openxmlformats.org/officeDocument/2006/relationships" ref="M154" r:id="rId300"/>
    <hyperlink xmlns:r="http://schemas.openxmlformats.org/officeDocument/2006/relationships" ref="L155" r:id="rId301"/>
    <hyperlink xmlns:r="http://schemas.openxmlformats.org/officeDocument/2006/relationships" ref="M155" r:id="rId302"/>
    <hyperlink xmlns:r="http://schemas.openxmlformats.org/officeDocument/2006/relationships" ref="L156" r:id="rId303"/>
    <hyperlink xmlns:r="http://schemas.openxmlformats.org/officeDocument/2006/relationships" ref="M156" r:id="rId304"/>
    <hyperlink xmlns:r="http://schemas.openxmlformats.org/officeDocument/2006/relationships" ref="L157" r:id="rId305"/>
    <hyperlink xmlns:r="http://schemas.openxmlformats.org/officeDocument/2006/relationships" ref="M157" r:id="rId306"/>
    <hyperlink xmlns:r="http://schemas.openxmlformats.org/officeDocument/2006/relationships" ref="L158" r:id="rId307"/>
    <hyperlink xmlns:r="http://schemas.openxmlformats.org/officeDocument/2006/relationships" ref="M158" r:id="rId308"/>
    <hyperlink xmlns:r="http://schemas.openxmlformats.org/officeDocument/2006/relationships" ref="L159" r:id="rId309"/>
    <hyperlink xmlns:r="http://schemas.openxmlformats.org/officeDocument/2006/relationships" ref="M159" r:id="rId310"/>
    <hyperlink xmlns:r="http://schemas.openxmlformats.org/officeDocument/2006/relationships" ref="L160" r:id="rId311"/>
    <hyperlink xmlns:r="http://schemas.openxmlformats.org/officeDocument/2006/relationships" ref="M160" r:id="rId312"/>
    <hyperlink xmlns:r="http://schemas.openxmlformats.org/officeDocument/2006/relationships" ref="L161" r:id="rId313"/>
    <hyperlink xmlns:r="http://schemas.openxmlformats.org/officeDocument/2006/relationships" ref="M161" r:id="rId314"/>
    <hyperlink xmlns:r="http://schemas.openxmlformats.org/officeDocument/2006/relationships" ref="L162" r:id="rId315"/>
    <hyperlink xmlns:r="http://schemas.openxmlformats.org/officeDocument/2006/relationships" ref="M162" r:id="rId316"/>
    <hyperlink xmlns:r="http://schemas.openxmlformats.org/officeDocument/2006/relationships" ref="L163" r:id="rId317"/>
    <hyperlink xmlns:r="http://schemas.openxmlformats.org/officeDocument/2006/relationships" ref="M163" r:id="rId318"/>
    <hyperlink xmlns:r="http://schemas.openxmlformats.org/officeDocument/2006/relationships" ref="L164" r:id="rId319"/>
    <hyperlink xmlns:r="http://schemas.openxmlformats.org/officeDocument/2006/relationships" ref="M164" r:id="rId320"/>
    <hyperlink xmlns:r="http://schemas.openxmlformats.org/officeDocument/2006/relationships" ref="L165" r:id="rId321"/>
    <hyperlink xmlns:r="http://schemas.openxmlformats.org/officeDocument/2006/relationships" ref="M165" r:id="rId322"/>
    <hyperlink xmlns:r="http://schemas.openxmlformats.org/officeDocument/2006/relationships" ref="L166" r:id="rId323"/>
    <hyperlink xmlns:r="http://schemas.openxmlformats.org/officeDocument/2006/relationships" ref="M166" r:id="rId324"/>
    <hyperlink xmlns:r="http://schemas.openxmlformats.org/officeDocument/2006/relationships" ref="L167" r:id="rId325"/>
    <hyperlink xmlns:r="http://schemas.openxmlformats.org/officeDocument/2006/relationships" ref="M167" r:id="rId326"/>
    <hyperlink xmlns:r="http://schemas.openxmlformats.org/officeDocument/2006/relationships" ref="L168" r:id="rId327"/>
    <hyperlink xmlns:r="http://schemas.openxmlformats.org/officeDocument/2006/relationships" ref="M168" r:id="rId328"/>
    <hyperlink xmlns:r="http://schemas.openxmlformats.org/officeDocument/2006/relationships" ref="L169" r:id="rId329"/>
    <hyperlink xmlns:r="http://schemas.openxmlformats.org/officeDocument/2006/relationships" ref="M169" r:id="rId330"/>
    <hyperlink xmlns:r="http://schemas.openxmlformats.org/officeDocument/2006/relationships" ref="L170" r:id="rId331"/>
    <hyperlink xmlns:r="http://schemas.openxmlformats.org/officeDocument/2006/relationships" ref="M170" r:id="rId332"/>
    <hyperlink xmlns:r="http://schemas.openxmlformats.org/officeDocument/2006/relationships" ref="L171" r:id="rId333"/>
    <hyperlink xmlns:r="http://schemas.openxmlformats.org/officeDocument/2006/relationships" ref="M171" r:id="rId334"/>
    <hyperlink xmlns:r="http://schemas.openxmlformats.org/officeDocument/2006/relationships" ref="L172" r:id="rId335"/>
    <hyperlink xmlns:r="http://schemas.openxmlformats.org/officeDocument/2006/relationships" ref="M172" r:id="rId336"/>
    <hyperlink xmlns:r="http://schemas.openxmlformats.org/officeDocument/2006/relationships" ref="L173" r:id="rId337"/>
    <hyperlink xmlns:r="http://schemas.openxmlformats.org/officeDocument/2006/relationships" ref="M173" r:id="rId338"/>
    <hyperlink xmlns:r="http://schemas.openxmlformats.org/officeDocument/2006/relationships" ref="L174" r:id="rId339"/>
    <hyperlink xmlns:r="http://schemas.openxmlformats.org/officeDocument/2006/relationships" ref="M174" r:id="rId340"/>
    <hyperlink xmlns:r="http://schemas.openxmlformats.org/officeDocument/2006/relationships" ref="L175" r:id="rId341"/>
    <hyperlink xmlns:r="http://schemas.openxmlformats.org/officeDocument/2006/relationships" ref="M175" r:id="rId342"/>
    <hyperlink xmlns:r="http://schemas.openxmlformats.org/officeDocument/2006/relationships" ref="L176" r:id="rId343"/>
    <hyperlink xmlns:r="http://schemas.openxmlformats.org/officeDocument/2006/relationships" ref="M176" r:id="rId344"/>
    <hyperlink xmlns:r="http://schemas.openxmlformats.org/officeDocument/2006/relationships" ref="L177" r:id="rId345"/>
    <hyperlink xmlns:r="http://schemas.openxmlformats.org/officeDocument/2006/relationships" ref="M177" r:id="rId346"/>
    <hyperlink xmlns:r="http://schemas.openxmlformats.org/officeDocument/2006/relationships" ref="L178" r:id="rId347"/>
    <hyperlink xmlns:r="http://schemas.openxmlformats.org/officeDocument/2006/relationships" ref="M178" r:id="rId348"/>
    <hyperlink xmlns:r="http://schemas.openxmlformats.org/officeDocument/2006/relationships" ref="L179" r:id="rId349"/>
    <hyperlink xmlns:r="http://schemas.openxmlformats.org/officeDocument/2006/relationships" ref="M179" r:id="rId350"/>
    <hyperlink xmlns:r="http://schemas.openxmlformats.org/officeDocument/2006/relationships" ref="L180" r:id="rId351"/>
    <hyperlink xmlns:r="http://schemas.openxmlformats.org/officeDocument/2006/relationships" ref="M180" r:id="rId352"/>
    <hyperlink xmlns:r="http://schemas.openxmlformats.org/officeDocument/2006/relationships" ref="L181" r:id="rId353"/>
    <hyperlink xmlns:r="http://schemas.openxmlformats.org/officeDocument/2006/relationships" ref="M181" r:id="rId354"/>
    <hyperlink xmlns:r="http://schemas.openxmlformats.org/officeDocument/2006/relationships" ref="L182" r:id="rId355"/>
    <hyperlink xmlns:r="http://schemas.openxmlformats.org/officeDocument/2006/relationships" ref="M182" r:id="rId356"/>
    <hyperlink xmlns:r="http://schemas.openxmlformats.org/officeDocument/2006/relationships" ref="L183" r:id="rId357"/>
    <hyperlink xmlns:r="http://schemas.openxmlformats.org/officeDocument/2006/relationships" ref="M183" r:id="rId358"/>
    <hyperlink xmlns:r="http://schemas.openxmlformats.org/officeDocument/2006/relationships" ref="L184" r:id="rId359"/>
    <hyperlink xmlns:r="http://schemas.openxmlformats.org/officeDocument/2006/relationships" ref="M184" r:id="rId360"/>
    <hyperlink xmlns:r="http://schemas.openxmlformats.org/officeDocument/2006/relationships" ref="L185" r:id="rId361"/>
    <hyperlink xmlns:r="http://schemas.openxmlformats.org/officeDocument/2006/relationships" ref="M185" r:id="rId362"/>
    <hyperlink xmlns:r="http://schemas.openxmlformats.org/officeDocument/2006/relationships" ref="L186" r:id="rId363"/>
    <hyperlink xmlns:r="http://schemas.openxmlformats.org/officeDocument/2006/relationships" ref="M186" r:id="rId364"/>
    <hyperlink xmlns:r="http://schemas.openxmlformats.org/officeDocument/2006/relationships" ref="L187" r:id="rId365"/>
    <hyperlink xmlns:r="http://schemas.openxmlformats.org/officeDocument/2006/relationships" ref="M187" r:id="rId366"/>
    <hyperlink xmlns:r="http://schemas.openxmlformats.org/officeDocument/2006/relationships" ref="L188" r:id="rId367"/>
    <hyperlink xmlns:r="http://schemas.openxmlformats.org/officeDocument/2006/relationships" ref="M188" r:id="rId368"/>
    <hyperlink xmlns:r="http://schemas.openxmlformats.org/officeDocument/2006/relationships" ref="L189" r:id="rId369"/>
    <hyperlink xmlns:r="http://schemas.openxmlformats.org/officeDocument/2006/relationships" ref="M189" r:id="rId370"/>
    <hyperlink xmlns:r="http://schemas.openxmlformats.org/officeDocument/2006/relationships" ref="L190" r:id="rId371"/>
    <hyperlink xmlns:r="http://schemas.openxmlformats.org/officeDocument/2006/relationships" ref="M190" r:id="rId372"/>
    <hyperlink xmlns:r="http://schemas.openxmlformats.org/officeDocument/2006/relationships" ref="L191" r:id="rId373"/>
    <hyperlink xmlns:r="http://schemas.openxmlformats.org/officeDocument/2006/relationships" ref="M191" r:id="rId374"/>
    <hyperlink xmlns:r="http://schemas.openxmlformats.org/officeDocument/2006/relationships" ref="L192" r:id="rId375"/>
    <hyperlink xmlns:r="http://schemas.openxmlformats.org/officeDocument/2006/relationships" ref="M192" r:id="rId376"/>
    <hyperlink xmlns:r="http://schemas.openxmlformats.org/officeDocument/2006/relationships" ref="L193" r:id="rId377"/>
    <hyperlink xmlns:r="http://schemas.openxmlformats.org/officeDocument/2006/relationships" ref="M193" r:id="rId378"/>
    <hyperlink xmlns:r="http://schemas.openxmlformats.org/officeDocument/2006/relationships" ref="L194" r:id="rId379"/>
    <hyperlink xmlns:r="http://schemas.openxmlformats.org/officeDocument/2006/relationships" ref="M194" r:id="rId380"/>
    <hyperlink xmlns:r="http://schemas.openxmlformats.org/officeDocument/2006/relationships" ref="L195" r:id="rId381"/>
    <hyperlink xmlns:r="http://schemas.openxmlformats.org/officeDocument/2006/relationships" ref="M195" r:id="rId382"/>
    <hyperlink xmlns:r="http://schemas.openxmlformats.org/officeDocument/2006/relationships" ref="L196" r:id="rId383"/>
    <hyperlink xmlns:r="http://schemas.openxmlformats.org/officeDocument/2006/relationships" ref="M196" r:id="rId384"/>
    <hyperlink xmlns:r="http://schemas.openxmlformats.org/officeDocument/2006/relationships" ref="L197" r:id="rId385"/>
    <hyperlink xmlns:r="http://schemas.openxmlformats.org/officeDocument/2006/relationships" ref="M197" r:id="rId386"/>
    <hyperlink xmlns:r="http://schemas.openxmlformats.org/officeDocument/2006/relationships" ref="L198" r:id="rId387"/>
    <hyperlink xmlns:r="http://schemas.openxmlformats.org/officeDocument/2006/relationships" ref="M198" r:id="rId388"/>
    <hyperlink xmlns:r="http://schemas.openxmlformats.org/officeDocument/2006/relationships" ref="L199" r:id="rId389"/>
    <hyperlink xmlns:r="http://schemas.openxmlformats.org/officeDocument/2006/relationships" ref="M199" r:id="rId390"/>
    <hyperlink xmlns:r="http://schemas.openxmlformats.org/officeDocument/2006/relationships" ref="L200" r:id="rId391"/>
    <hyperlink xmlns:r="http://schemas.openxmlformats.org/officeDocument/2006/relationships" ref="M200" r:id="rId392"/>
    <hyperlink xmlns:r="http://schemas.openxmlformats.org/officeDocument/2006/relationships" ref="L201" r:id="rId393"/>
    <hyperlink xmlns:r="http://schemas.openxmlformats.org/officeDocument/2006/relationships" ref="M201" r:id="rId394"/>
    <hyperlink xmlns:r="http://schemas.openxmlformats.org/officeDocument/2006/relationships" ref="L202" r:id="rId395"/>
    <hyperlink xmlns:r="http://schemas.openxmlformats.org/officeDocument/2006/relationships" ref="M202" r:id="rId396"/>
    <hyperlink xmlns:r="http://schemas.openxmlformats.org/officeDocument/2006/relationships" ref="L203" r:id="rId397"/>
    <hyperlink xmlns:r="http://schemas.openxmlformats.org/officeDocument/2006/relationships" ref="M203" r:id="rId398"/>
    <hyperlink xmlns:r="http://schemas.openxmlformats.org/officeDocument/2006/relationships" ref="L204" r:id="rId399"/>
    <hyperlink xmlns:r="http://schemas.openxmlformats.org/officeDocument/2006/relationships" ref="M204" r:id="rId400"/>
    <hyperlink xmlns:r="http://schemas.openxmlformats.org/officeDocument/2006/relationships" ref="L205" r:id="rId401"/>
    <hyperlink xmlns:r="http://schemas.openxmlformats.org/officeDocument/2006/relationships" ref="M205" r:id="rId402"/>
    <hyperlink xmlns:r="http://schemas.openxmlformats.org/officeDocument/2006/relationships" ref="L206" r:id="rId403"/>
    <hyperlink xmlns:r="http://schemas.openxmlformats.org/officeDocument/2006/relationships" ref="M206" r:id="rId404"/>
    <hyperlink xmlns:r="http://schemas.openxmlformats.org/officeDocument/2006/relationships" ref="L207" r:id="rId405"/>
    <hyperlink xmlns:r="http://schemas.openxmlformats.org/officeDocument/2006/relationships" ref="M207" r:id="rId406"/>
    <hyperlink xmlns:r="http://schemas.openxmlformats.org/officeDocument/2006/relationships" ref="L208" r:id="rId407"/>
    <hyperlink xmlns:r="http://schemas.openxmlformats.org/officeDocument/2006/relationships" ref="M208" r:id="rId408"/>
    <hyperlink xmlns:r="http://schemas.openxmlformats.org/officeDocument/2006/relationships" ref="L209" r:id="rId409"/>
    <hyperlink xmlns:r="http://schemas.openxmlformats.org/officeDocument/2006/relationships" ref="M209" r:id="rId410"/>
    <hyperlink xmlns:r="http://schemas.openxmlformats.org/officeDocument/2006/relationships" ref="L210" r:id="rId411"/>
    <hyperlink xmlns:r="http://schemas.openxmlformats.org/officeDocument/2006/relationships" ref="M210" r:id="rId412"/>
    <hyperlink xmlns:r="http://schemas.openxmlformats.org/officeDocument/2006/relationships" ref="L211" r:id="rId413"/>
    <hyperlink xmlns:r="http://schemas.openxmlformats.org/officeDocument/2006/relationships" ref="M211" r:id="rId414"/>
    <hyperlink xmlns:r="http://schemas.openxmlformats.org/officeDocument/2006/relationships" ref="L212" r:id="rId415"/>
    <hyperlink xmlns:r="http://schemas.openxmlformats.org/officeDocument/2006/relationships" ref="M212" r:id="rId416"/>
    <hyperlink xmlns:r="http://schemas.openxmlformats.org/officeDocument/2006/relationships" ref="L213" r:id="rId417"/>
    <hyperlink xmlns:r="http://schemas.openxmlformats.org/officeDocument/2006/relationships" ref="M213" r:id="rId418"/>
    <hyperlink xmlns:r="http://schemas.openxmlformats.org/officeDocument/2006/relationships" ref="L214" r:id="rId419"/>
    <hyperlink xmlns:r="http://schemas.openxmlformats.org/officeDocument/2006/relationships" ref="M214" r:id="rId420"/>
    <hyperlink xmlns:r="http://schemas.openxmlformats.org/officeDocument/2006/relationships" ref="L215" r:id="rId421"/>
    <hyperlink xmlns:r="http://schemas.openxmlformats.org/officeDocument/2006/relationships" ref="M215" r:id="rId422"/>
    <hyperlink xmlns:r="http://schemas.openxmlformats.org/officeDocument/2006/relationships" ref="L216" r:id="rId423"/>
    <hyperlink xmlns:r="http://schemas.openxmlformats.org/officeDocument/2006/relationships" ref="M216" r:id="rId424"/>
    <hyperlink xmlns:r="http://schemas.openxmlformats.org/officeDocument/2006/relationships" ref="L217" r:id="rId425"/>
    <hyperlink xmlns:r="http://schemas.openxmlformats.org/officeDocument/2006/relationships" ref="M217" r:id="rId426"/>
    <hyperlink xmlns:r="http://schemas.openxmlformats.org/officeDocument/2006/relationships" ref="L218" r:id="rId427"/>
    <hyperlink xmlns:r="http://schemas.openxmlformats.org/officeDocument/2006/relationships" ref="M218" r:id="rId428"/>
    <hyperlink xmlns:r="http://schemas.openxmlformats.org/officeDocument/2006/relationships" ref="L219" r:id="rId429"/>
    <hyperlink xmlns:r="http://schemas.openxmlformats.org/officeDocument/2006/relationships" ref="M219" r:id="rId430"/>
    <hyperlink xmlns:r="http://schemas.openxmlformats.org/officeDocument/2006/relationships" ref="L220" r:id="rId431"/>
    <hyperlink xmlns:r="http://schemas.openxmlformats.org/officeDocument/2006/relationships" ref="M220" r:id="rId432"/>
    <hyperlink xmlns:r="http://schemas.openxmlformats.org/officeDocument/2006/relationships" ref="L221" r:id="rId433"/>
    <hyperlink xmlns:r="http://schemas.openxmlformats.org/officeDocument/2006/relationships" ref="M221" r:id="rId434"/>
    <hyperlink xmlns:r="http://schemas.openxmlformats.org/officeDocument/2006/relationships" ref="L222" r:id="rId435"/>
    <hyperlink xmlns:r="http://schemas.openxmlformats.org/officeDocument/2006/relationships" ref="M222" r:id="rId436"/>
    <hyperlink xmlns:r="http://schemas.openxmlformats.org/officeDocument/2006/relationships" ref="L223" r:id="rId437"/>
    <hyperlink xmlns:r="http://schemas.openxmlformats.org/officeDocument/2006/relationships" ref="M223" r:id="rId438"/>
    <hyperlink xmlns:r="http://schemas.openxmlformats.org/officeDocument/2006/relationships" ref="L224" r:id="rId439"/>
    <hyperlink xmlns:r="http://schemas.openxmlformats.org/officeDocument/2006/relationships" ref="M224" r:id="rId440"/>
    <hyperlink xmlns:r="http://schemas.openxmlformats.org/officeDocument/2006/relationships" ref="L225" r:id="rId441"/>
    <hyperlink xmlns:r="http://schemas.openxmlformats.org/officeDocument/2006/relationships" ref="M225" r:id="rId442"/>
    <hyperlink xmlns:r="http://schemas.openxmlformats.org/officeDocument/2006/relationships" ref="L226" r:id="rId443"/>
    <hyperlink xmlns:r="http://schemas.openxmlformats.org/officeDocument/2006/relationships" ref="M226" r:id="rId444"/>
    <hyperlink xmlns:r="http://schemas.openxmlformats.org/officeDocument/2006/relationships" ref="L227" r:id="rId445"/>
    <hyperlink xmlns:r="http://schemas.openxmlformats.org/officeDocument/2006/relationships" ref="M227" r:id="rId446"/>
    <hyperlink xmlns:r="http://schemas.openxmlformats.org/officeDocument/2006/relationships" ref="L228" r:id="rId447"/>
    <hyperlink xmlns:r="http://schemas.openxmlformats.org/officeDocument/2006/relationships" ref="M228" r:id="rId448"/>
    <hyperlink xmlns:r="http://schemas.openxmlformats.org/officeDocument/2006/relationships" ref="L229" r:id="rId449"/>
    <hyperlink xmlns:r="http://schemas.openxmlformats.org/officeDocument/2006/relationships" ref="M229" r:id="rId450"/>
    <hyperlink xmlns:r="http://schemas.openxmlformats.org/officeDocument/2006/relationships" ref="L230" r:id="rId451"/>
    <hyperlink xmlns:r="http://schemas.openxmlformats.org/officeDocument/2006/relationships" ref="M230" r:id="rId452"/>
    <hyperlink xmlns:r="http://schemas.openxmlformats.org/officeDocument/2006/relationships" ref="L231" r:id="rId453"/>
    <hyperlink xmlns:r="http://schemas.openxmlformats.org/officeDocument/2006/relationships" ref="M231" r:id="rId454"/>
    <hyperlink xmlns:r="http://schemas.openxmlformats.org/officeDocument/2006/relationships" ref="L232" r:id="rId455"/>
    <hyperlink xmlns:r="http://schemas.openxmlformats.org/officeDocument/2006/relationships" ref="M232" r:id="rId456"/>
    <hyperlink xmlns:r="http://schemas.openxmlformats.org/officeDocument/2006/relationships" ref="L233" r:id="rId457"/>
    <hyperlink xmlns:r="http://schemas.openxmlformats.org/officeDocument/2006/relationships" ref="M233" r:id="rId458"/>
    <hyperlink xmlns:r="http://schemas.openxmlformats.org/officeDocument/2006/relationships" ref="L234" r:id="rId459"/>
    <hyperlink xmlns:r="http://schemas.openxmlformats.org/officeDocument/2006/relationships" ref="M234" r:id="rId460"/>
    <hyperlink xmlns:r="http://schemas.openxmlformats.org/officeDocument/2006/relationships" ref="L235" r:id="rId461"/>
    <hyperlink xmlns:r="http://schemas.openxmlformats.org/officeDocument/2006/relationships" ref="M235" r:id="rId462"/>
    <hyperlink xmlns:r="http://schemas.openxmlformats.org/officeDocument/2006/relationships" ref="L236" r:id="rId463"/>
    <hyperlink xmlns:r="http://schemas.openxmlformats.org/officeDocument/2006/relationships" ref="M236" r:id="rId464"/>
    <hyperlink xmlns:r="http://schemas.openxmlformats.org/officeDocument/2006/relationships" ref="L237" r:id="rId465"/>
    <hyperlink xmlns:r="http://schemas.openxmlformats.org/officeDocument/2006/relationships" ref="M237" r:id="rId466"/>
    <hyperlink xmlns:r="http://schemas.openxmlformats.org/officeDocument/2006/relationships" ref="L238" r:id="rId467"/>
    <hyperlink xmlns:r="http://schemas.openxmlformats.org/officeDocument/2006/relationships" ref="M238" r:id="rId468"/>
    <hyperlink xmlns:r="http://schemas.openxmlformats.org/officeDocument/2006/relationships" ref="L239" r:id="rId469"/>
    <hyperlink xmlns:r="http://schemas.openxmlformats.org/officeDocument/2006/relationships" ref="M239" r:id="rId470"/>
    <hyperlink xmlns:r="http://schemas.openxmlformats.org/officeDocument/2006/relationships" ref="L240" r:id="rId471"/>
    <hyperlink xmlns:r="http://schemas.openxmlformats.org/officeDocument/2006/relationships" ref="M240" r:id="rId472"/>
    <hyperlink xmlns:r="http://schemas.openxmlformats.org/officeDocument/2006/relationships" ref="L241" r:id="rId473"/>
    <hyperlink xmlns:r="http://schemas.openxmlformats.org/officeDocument/2006/relationships" ref="M241" r:id="rId474"/>
    <hyperlink xmlns:r="http://schemas.openxmlformats.org/officeDocument/2006/relationships" ref="L242" r:id="rId475"/>
    <hyperlink xmlns:r="http://schemas.openxmlformats.org/officeDocument/2006/relationships" ref="M242" r:id="rId476"/>
    <hyperlink xmlns:r="http://schemas.openxmlformats.org/officeDocument/2006/relationships" ref="L243" r:id="rId477"/>
    <hyperlink xmlns:r="http://schemas.openxmlformats.org/officeDocument/2006/relationships" ref="M243" r:id="rId478"/>
    <hyperlink xmlns:r="http://schemas.openxmlformats.org/officeDocument/2006/relationships" ref="L244" r:id="rId479"/>
    <hyperlink xmlns:r="http://schemas.openxmlformats.org/officeDocument/2006/relationships" ref="M244" r:id="rId480"/>
    <hyperlink xmlns:r="http://schemas.openxmlformats.org/officeDocument/2006/relationships" ref="L245" r:id="rId481"/>
    <hyperlink xmlns:r="http://schemas.openxmlformats.org/officeDocument/2006/relationships" ref="M245" r:id="rId482"/>
    <hyperlink xmlns:r="http://schemas.openxmlformats.org/officeDocument/2006/relationships" ref="L246" r:id="rId483"/>
    <hyperlink xmlns:r="http://schemas.openxmlformats.org/officeDocument/2006/relationships" ref="M246" r:id="rId484"/>
    <hyperlink xmlns:r="http://schemas.openxmlformats.org/officeDocument/2006/relationships" ref="L247" r:id="rId485"/>
    <hyperlink xmlns:r="http://schemas.openxmlformats.org/officeDocument/2006/relationships" ref="M247" r:id="rId486"/>
    <hyperlink xmlns:r="http://schemas.openxmlformats.org/officeDocument/2006/relationships" ref="L248" r:id="rId487"/>
    <hyperlink xmlns:r="http://schemas.openxmlformats.org/officeDocument/2006/relationships" ref="M248" r:id="rId488"/>
    <hyperlink xmlns:r="http://schemas.openxmlformats.org/officeDocument/2006/relationships" ref="L249" r:id="rId489"/>
    <hyperlink xmlns:r="http://schemas.openxmlformats.org/officeDocument/2006/relationships" ref="M249" r:id="rId490"/>
    <hyperlink xmlns:r="http://schemas.openxmlformats.org/officeDocument/2006/relationships" ref="L250" r:id="rId491"/>
    <hyperlink xmlns:r="http://schemas.openxmlformats.org/officeDocument/2006/relationships" ref="M250" r:id="rId492"/>
    <hyperlink xmlns:r="http://schemas.openxmlformats.org/officeDocument/2006/relationships" ref="L251" r:id="rId493"/>
    <hyperlink xmlns:r="http://schemas.openxmlformats.org/officeDocument/2006/relationships" ref="M251" r:id="rId494"/>
    <hyperlink xmlns:r="http://schemas.openxmlformats.org/officeDocument/2006/relationships" ref="L252" r:id="rId495"/>
    <hyperlink xmlns:r="http://schemas.openxmlformats.org/officeDocument/2006/relationships" ref="M252" r:id="rId496"/>
    <hyperlink xmlns:r="http://schemas.openxmlformats.org/officeDocument/2006/relationships" ref="L253" r:id="rId497"/>
    <hyperlink xmlns:r="http://schemas.openxmlformats.org/officeDocument/2006/relationships" ref="M253" r:id="rId498"/>
    <hyperlink xmlns:r="http://schemas.openxmlformats.org/officeDocument/2006/relationships" ref="L254" r:id="rId499"/>
    <hyperlink xmlns:r="http://schemas.openxmlformats.org/officeDocument/2006/relationships" ref="M254" r:id="rId500"/>
    <hyperlink xmlns:r="http://schemas.openxmlformats.org/officeDocument/2006/relationships" ref="L255" r:id="rId501"/>
    <hyperlink xmlns:r="http://schemas.openxmlformats.org/officeDocument/2006/relationships" ref="M255" r:id="rId502"/>
    <hyperlink xmlns:r="http://schemas.openxmlformats.org/officeDocument/2006/relationships" ref="L256" r:id="rId503"/>
    <hyperlink xmlns:r="http://schemas.openxmlformats.org/officeDocument/2006/relationships" ref="M256" r:id="rId504"/>
    <hyperlink xmlns:r="http://schemas.openxmlformats.org/officeDocument/2006/relationships" ref="L257" r:id="rId505"/>
    <hyperlink xmlns:r="http://schemas.openxmlformats.org/officeDocument/2006/relationships" ref="M257" r:id="rId506"/>
    <hyperlink xmlns:r="http://schemas.openxmlformats.org/officeDocument/2006/relationships" ref="L258" r:id="rId507"/>
    <hyperlink xmlns:r="http://schemas.openxmlformats.org/officeDocument/2006/relationships" ref="M258" r:id="rId508"/>
    <hyperlink xmlns:r="http://schemas.openxmlformats.org/officeDocument/2006/relationships" ref="L259" r:id="rId509"/>
    <hyperlink xmlns:r="http://schemas.openxmlformats.org/officeDocument/2006/relationships" ref="M259" r:id="rId510"/>
    <hyperlink xmlns:r="http://schemas.openxmlformats.org/officeDocument/2006/relationships" ref="L260" r:id="rId511"/>
    <hyperlink xmlns:r="http://schemas.openxmlformats.org/officeDocument/2006/relationships" ref="M260" r:id="rId512"/>
    <hyperlink xmlns:r="http://schemas.openxmlformats.org/officeDocument/2006/relationships" ref="L261" r:id="rId513"/>
    <hyperlink xmlns:r="http://schemas.openxmlformats.org/officeDocument/2006/relationships" ref="M261" r:id="rId514"/>
    <hyperlink xmlns:r="http://schemas.openxmlformats.org/officeDocument/2006/relationships" ref="L262" r:id="rId515"/>
    <hyperlink xmlns:r="http://schemas.openxmlformats.org/officeDocument/2006/relationships" ref="M262" r:id="rId516"/>
    <hyperlink xmlns:r="http://schemas.openxmlformats.org/officeDocument/2006/relationships" ref="L263" r:id="rId517"/>
    <hyperlink xmlns:r="http://schemas.openxmlformats.org/officeDocument/2006/relationships" ref="M263" r:id="rId518"/>
    <hyperlink xmlns:r="http://schemas.openxmlformats.org/officeDocument/2006/relationships" ref="L264" r:id="rId519"/>
    <hyperlink xmlns:r="http://schemas.openxmlformats.org/officeDocument/2006/relationships" ref="M264" r:id="rId520"/>
    <hyperlink xmlns:r="http://schemas.openxmlformats.org/officeDocument/2006/relationships" ref="L265" r:id="rId521"/>
    <hyperlink xmlns:r="http://schemas.openxmlformats.org/officeDocument/2006/relationships" ref="M265" r:id="rId522"/>
    <hyperlink xmlns:r="http://schemas.openxmlformats.org/officeDocument/2006/relationships" ref="L266" r:id="rId523"/>
    <hyperlink xmlns:r="http://schemas.openxmlformats.org/officeDocument/2006/relationships" ref="M266" r:id="rId524"/>
    <hyperlink xmlns:r="http://schemas.openxmlformats.org/officeDocument/2006/relationships" ref="L267" r:id="rId525"/>
    <hyperlink xmlns:r="http://schemas.openxmlformats.org/officeDocument/2006/relationships" ref="M267" r:id="rId526"/>
    <hyperlink xmlns:r="http://schemas.openxmlformats.org/officeDocument/2006/relationships" ref="L268" r:id="rId527"/>
    <hyperlink xmlns:r="http://schemas.openxmlformats.org/officeDocument/2006/relationships" ref="M268" r:id="rId528"/>
    <hyperlink xmlns:r="http://schemas.openxmlformats.org/officeDocument/2006/relationships" ref="L269" r:id="rId529"/>
    <hyperlink xmlns:r="http://schemas.openxmlformats.org/officeDocument/2006/relationships" ref="M269" r:id="rId530"/>
    <hyperlink xmlns:r="http://schemas.openxmlformats.org/officeDocument/2006/relationships" ref="L270" r:id="rId531"/>
    <hyperlink xmlns:r="http://schemas.openxmlformats.org/officeDocument/2006/relationships" ref="M270" r:id="rId532"/>
    <hyperlink xmlns:r="http://schemas.openxmlformats.org/officeDocument/2006/relationships" ref="L271" r:id="rId533"/>
    <hyperlink xmlns:r="http://schemas.openxmlformats.org/officeDocument/2006/relationships" ref="M271" r:id="rId534"/>
    <hyperlink xmlns:r="http://schemas.openxmlformats.org/officeDocument/2006/relationships" ref="L272" r:id="rId535"/>
    <hyperlink xmlns:r="http://schemas.openxmlformats.org/officeDocument/2006/relationships" ref="M272" r:id="rId536"/>
    <hyperlink xmlns:r="http://schemas.openxmlformats.org/officeDocument/2006/relationships" ref="L273" r:id="rId537"/>
    <hyperlink xmlns:r="http://schemas.openxmlformats.org/officeDocument/2006/relationships" ref="M273" r:id="rId538"/>
    <hyperlink xmlns:r="http://schemas.openxmlformats.org/officeDocument/2006/relationships" ref="L274" r:id="rId539"/>
    <hyperlink xmlns:r="http://schemas.openxmlformats.org/officeDocument/2006/relationships" ref="M274" r:id="rId540"/>
    <hyperlink xmlns:r="http://schemas.openxmlformats.org/officeDocument/2006/relationships" ref="L275" r:id="rId541"/>
    <hyperlink xmlns:r="http://schemas.openxmlformats.org/officeDocument/2006/relationships" ref="M275" r:id="rId542"/>
    <hyperlink xmlns:r="http://schemas.openxmlformats.org/officeDocument/2006/relationships" ref="L276" r:id="rId543"/>
    <hyperlink xmlns:r="http://schemas.openxmlformats.org/officeDocument/2006/relationships" ref="M276" r:id="rId544"/>
    <hyperlink xmlns:r="http://schemas.openxmlformats.org/officeDocument/2006/relationships" ref="L277" r:id="rId545"/>
    <hyperlink xmlns:r="http://schemas.openxmlformats.org/officeDocument/2006/relationships" ref="M277" r:id="rId546"/>
    <hyperlink xmlns:r="http://schemas.openxmlformats.org/officeDocument/2006/relationships" ref="L278" r:id="rId547"/>
    <hyperlink xmlns:r="http://schemas.openxmlformats.org/officeDocument/2006/relationships" ref="M278" r:id="rId548"/>
    <hyperlink xmlns:r="http://schemas.openxmlformats.org/officeDocument/2006/relationships" ref="L279" r:id="rId549"/>
    <hyperlink xmlns:r="http://schemas.openxmlformats.org/officeDocument/2006/relationships" ref="M279" r:id="rId550"/>
    <hyperlink xmlns:r="http://schemas.openxmlformats.org/officeDocument/2006/relationships" ref="L280" r:id="rId551"/>
    <hyperlink xmlns:r="http://schemas.openxmlformats.org/officeDocument/2006/relationships" ref="M280" r:id="rId552"/>
    <hyperlink xmlns:r="http://schemas.openxmlformats.org/officeDocument/2006/relationships" ref="L281" r:id="rId553"/>
    <hyperlink xmlns:r="http://schemas.openxmlformats.org/officeDocument/2006/relationships" ref="M281" r:id="rId554"/>
    <hyperlink xmlns:r="http://schemas.openxmlformats.org/officeDocument/2006/relationships" ref="L282" r:id="rId555"/>
    <hyperlink xmlns:r="http://schemas.openxmlformats.org/officeDocument/2006/relationships" ref="M282" r:id="rId556"/>
    <hyperlink xmlns:r="http://schemas.openxmlformats.org/officeDocument/2006/relationships" ref="L283" r:id="rId557"/>
    <hyperlink xmlns:r="http://schemas.openxmlformats.org/officeDocument/2006/relationships" ref="M283" r:id="rId558"/>
    <hyperlink xmlns:r="http://schemas.openxmlformats.org/officeDocument/2006/relationships" ref="L284" r:id="rId559"/>
    <hyperlink xmlns:r="http://schemas.openxmlformats.org/officeDocument/2006/relationships" ref="M284" r:id="rId560"/>
    <hyperlink xmlns:r="http://schemas.openxmlformats.org/officeDocument/2006/relationships" ref="L285" r:id="rId561"/>
    <hyperlink xmlns:r="http://schemas.openxmlformats.org/officeDocument/2006/relationships" ref="M285" r:id="rId562"/>
    <hyperlink xmlns:r="http://schemas.openxmlformats.org/officeDocument/2006/relationships" ref="L286" r:id="rId563"/>
    <hyperlink xmlns:r="http://schemas.openxmlformats.org/officeDocument/2006/relationships" ref="M286" r:id="rId564"/>
    <hyperlink xmlns:r="http://schemas.openxmlformats.org/officeDocument/2006/relationships" ref="L287" r:id="rId565"/>
    <hyperlink xmlns:r="http://schemas.openxmlformats.org/officeDocument/2006/relationships" ref="M287" r:id="rId566"/>
    <hyperlink xmlns:r="http://schemas.openxmlformats.org/officeDocument/2006/relationships" ref="L288" r:id="rId567"/>
    <hyperlink xmlns:r="http://schemas.openxmlformats.org/officeDocument/2006/relationships" ref="M288" r:id="rId568"/>
    <hyperlink xmlns:r="http://schemas.openxmlformats.org/officeDocument/2006/relationships" ref="L289" r:id="rId569"/>
    <hyperlink xmlns:r="http://schemas.openxmlformats.org/officeDocument/2006/relationships" ref="M289" r:id="rId570"/>
    <hyperlink xmlns:r="http://schemas.openxmlformats.org/officeDocument/2006/relationships" ref="L290" r:id="rId571"/>
    <hyperlink xmlns:r="http://schemas.openxmlformats.org/officeDocument/2006/relationships" ref="M290" r:id="rId572"/>
    <hyperlink xmlns:r="http://schemas.openxmlformats.org/officeDocument/2006/relationships" ref="L291" r:id="rId573"/>
    <hyperlink xmlns:r="http://schemas.openxmlformats.org/officeDocument/2006/relationships" ref="M291" r:id="rId574"/>
    <hyperlink xmlns:r="http://schemas.openxmlformats.org/officeDocument/2006/relationships" ref="L292" r:id="rId575"/>
    <hyperlink xmlns:r="http://schemas.openxmlformats.org/officeDocument/2006/relationships" ref="M292" r:id="rId576"/>
    <hyperlink xmlns:r="http://schemas.openxmlformats.org/officeDocument/2006/relationships" ref="L293" r:id="rId577"/>
    <hyperlink xmlns:r="http://schemas.openxmlformats.org/officeDocument/2006/relationships" ref="M293" r:id="rId578"/>
    <hyperlink xmlns:r="http://schemas.openxmlformats.org/officeDocument/2006/relationships" ref="L294" r:id="rId579"/>
    <hyperlink xmlns:r="http://schemas.openxmlformats.org/officeDocument/2006/relationships" ref="M294" r:id="rId580"/>
    <hyperlink xmlns:r="http://schemas.openxmlformats.org/officeDocument/2006/relationships" ref="L295" r:id="rId581"/>
    <hyperlink xmlns:r="http://schemas.openxmlformats.org/officeDocument/2006/relationships" ref="M295" r:id="rId582"/>
    <hyperlink xmlns:r="http://schemas.openxmlformats.org/officeDocument/2006/relationships" ref="L296" r:id="rId583"/>
    <hyperlink xmlns:r="http://schemas.openxmlformats.org/officeDocument/2006/relationships" ref="M296" r:id="rId584"/>
    <hyperlink xmlns:r="http://schemas.openxmlformats.org/officeDocument/2006/relationships" ref="L297" r:id="rId585"/>
    <hyperlink xmlns:r="http://schemas.openxmlformats.org/officeDocument/2006/relationships" ref="M297" r:id="rId586"/>
    <hyperlink xmlns:r="http://schemas.openxmlformats.org/officeDocument/2006/relationships" ref="L298" r:id="rId587"/>
    <hyperlink xmlns:r="http://schemas.openxmlformats.org/officeDocument/2006/relationships" ref="M298" r:id="rId588"/>
    <hyperlink xmlns:r="http://schemas.openxmlformats.org/officeDocument/2006/relationships" ref="L299" r:id="rId589"/>
    <hyperlink xmlns:r="http://schemas.openxmlformats.org/officeDocument/2006/relationships" ref="M299" r:id="rId590"/>
    <hyperlink xmlns:r="http://schemas.openxmlformats.org/officeDocument/2006/relationships" ref="L300" r:id="rId591"/>
    <hyperlink xmlns:r="http://schemas.openxmlformats.org/officeDocument/2006/relationships" ref="M300" r:id="rId592"/>
    <hyperlink xmlns:r="http://schemas.openxmlformats.org/officeDocument/2006/relationships" ref="L301" r:id="rId593"/>
    <hyperlink xmlns:r="http://schemas.openxmlformats.org/officeDocument/2006/relationships" ref="M301" r:id="rId594"/>
    <hyperlink xmlns:r="http://schemas.openxmlformats.org/officeDocument/2006/relationships" ref="L302" r:id="rId595"/>
    <hyperlink xmlns:r="http://schemas.openxmlformats.org/officeDocument/2006/relationships" ref="M302" r:id="rId596"/>
    <hyperlink xmlns:r="http://schemas.openxmlformats.org/officeDocument/2006/relationships" ref="L303" r:id="rId597"/>
    <hyperlink xmlns:r="http://schemas.openxmlformats.org/officeDocument/2006/relationships" ref="M303" r:id="rId598"/>
    <hyperlink xmlns:r="http://schemas.openxmlformats.org/officeDocument/2006/relationships" ref="L304" r:id="rId599"/>
    <hyperlink xmlns:r="http://schemas.openxmlformats.org/officeDocument/2006/relationships" ref="M304" r:id="rId600"/>
    <hyperlink xmlns:r="http://schemas.openxmlformats.org/officeDocument/2006/relationships" ref="L305" r:id="rId601"/>
    <hyperlink xmlns:r="http://schemas.openxmlformats.org/officeDocument/2006/relationships" ref="M305" r:id="rId602"/>
    <hyperlink xmlns:r="http://schemas.openxmlformats.org/officeDocument/2006/relationships" ref="L306" r:id="rId603"/>
    <hyperlink xmlns:r="http://schemas.openxmlformats.org/officeDocument/2006/relationships" ref="M306" r:id="rId604"/>
    <hyperlink xmlns:r="http://schemas.openxmlformats.org/officeDocument/2006/relationships" ref="L307" r:id="rId605"/>
    <hyperlink xmlns:r="http://schemas.openxmlformats.org/officeDocument/2006/relationships" ref="M307" r:id="rId606"/>
    <hyperlink xmlns:r="http://schemas.openxmlformats.org/officeDocument/2006/relationships" ref="L308" r:id="rId607"/>
    <hyperlink xmlns:r="http://schemas.openxmlformats.org/officeDocument/2006/relationships" ref="M308" r:id="rId608"/>
    <hyperlink xmlns:r="http://schemas.openxmlformats.org/officeDocument/2006/relationships" ref="L309" r:id="rId609"/>
    <hyperlink xmlns:r="http://schemas.openxmlformats.org/officeDocument/2006/relationships" ref="M309" r:id="rId610"/>
    <hyperlink xmlns:r="http://schemas.openxmlformats.org/officeDocument/2006/relationships" ref="L310" r:id="rId611"/>
    <hyperlink xmlns:r="http://schemas.openxmlformats.org/officeDocument/2006/relationships" ref="M310" r:id="rId612"/>
    <hyperlink xmlns:r="http://schemas.openxmlformats.org/officeDocument/2006/relationships" ref="L311" r:id="rId613"/>
    <hyperlink xmlns:r="http://schemas.openxmlformats.org/officeDocument/2006/relationships" ref="M311" r:id="rId614"/>
    <hyperlink xmlns:r="http://schemas.openxmlformats.org/officeDocument/2006/relationships" ref="L312" r:id="rId615"/>
    <hyperlink xmlns:r="http://schemas.openxmlformats.org/officeDocument/2006/relationships" ref="M312" r:id="rId616"/>
    <hyperlink xmlns:r="http://schemas.openxmlformats.org/officeDocument/2006/relationships" ref="L313" r:id="rId617"/>
    <hyperlink xmlns:r="http://schemas.openxmlformats.org/officeDocument/2006/relationships" ref="M313" r:id="rId618"/>
    <hyperlink xmlns:r="http://schemas.openxmlformats.org/officeDocument/2006/relationships" ref="L314" r:id="rId619"/>
    <hyperlink xmlns:r="http://schemas.openxmlformats.org/officeDocument/2006/relationships" ref="M314" r:id="rId620"/>
    <hyperlink xmlns:r="http://schemas.openxmlformats.org/officeDocument/2006/relationships" ref="L315" r:id="rId621"/>
    <hyperlink xmlns:r="http://schemas.openxmlformats.org/officeDocument/2006/relationships" ref="M315" r:id="rId622"/>
    <hyperlink xmlns:r="http://schemas.openxmlformats.org/officeDocument/2006/relationships" ref="L316" r:id="rId623"/>
    <hyperlink xmlns:r="http://schemas.openxmlformats.org/officeDocument/2006/relationships" ref="M316" r:id="rId624"/>
    <hyperlink xmlns:r="http://schemas.openxmlformats.org/officeDocument/2006/relationships" ref="L317" r:id="rId625"/>
    <hyperlink xmlns:r="http://schemas.openxmlformats.org/officeDocument/2006/relationships" ref="M317" r:id="rId626"/>
    <hyperlink xmlns:r="http://schemas.openxmlformats.org/officeDocument/2006/relationships" ref="L318" r:id="rId627"/>
    <hyperlink xmlns:r="http://schemas.openxmlformats.org/officeDocument/2006/relationships" ref="M318" r:id="rId628"/>
    <hyperlink xmlns:r="http://schemas.openxmlformats.org/officeDocument/2006/relationships" ref="L319" r:id="rId629"/>
    <hyperlink xmlns:r="http://schemas.openxmlformats.org/officeDocument/2006/relationships" ref="M319" r:id="rId630"/>
    <hyperlink xmlns:r="http://schemas.openxmlformats.org/officeDocument/2006/relationships" ref="L320" r:id="rId631"/>
    <hyperlink xmlns:r="http://schemas.openxmlformats.org/officeDocument/2006/relationships" ref="M320" r:id="rId632"/>
    <hyperlink xmlns:r="http://schemas.openxmlformats.org/officeDocument/2006/relationships" ref="L321" r:id="rId633"/>
    <hyperlink xmlns:r="http://schemas.openxmlformats.org/officeDocument/2006/relationships" ref="M321" r:id="rId634"/>
    <hyperlink xmlns:r="http://schemas.openxmlformats.org/officeDocument/2006/relationships" ref="L322" r:id="rId635"/>
    <hyperlink xmlns:r="http://schemas.openxmlformats.org/officeDocument/2006/relationships" ref="M322" r:id="rId636"/>
    <hyperlink xmlns:r="http://schemas.openxmlformats.org/officeDocument/2006/relationships" ref="L323" r:id="rId637"/>
    <hyperlink xmlns:r="http://schemas.openxmlformats.org/officeDocument/2006/relationships" ref="M323" r:id="rId638"/>
    <hyperlink xmlns:r="http://schemas.openxmlformats.org/officeDocument/2006/relationships" ref="L324" r:id="rId639"/>
    <hyperlink xmlns:r="http://schemas.openxmlformats.org/officeDocument/2006/relationships" ref="M324" r:id="rId640"/>
    <hyperlink xmlns:r="http://schemas.openxmlformats.org/officeDocument/2006/relationships" ref="L325" r:id="rId641"/>
    <hyperlink xmlns:r="http://schemas.openxmlformats.org/officeDocument/2006/relationships" ref="M325" r:id="rId642"/>
    <hyperlink xmlns:r="http://schemas.openxmlformats.org/officeDocument/2006/relationships" ref="L326" r:id="rId643"/>
    <hyperlink xmlns:r="http://schemas.openxmlformats.org/officeDocument/2006/relationships" ref="M326" r:id="rId644"/>
    <hyperlink xmlns:r="http://schemas.openxmlformats.org/officeDocument/2006/relationships" ref="L327" r:id="rId645"/>
    <hyperlink xmlns:r="http://schemas.openxmlformats.org/officeDocument/2006/relationships" ref="M327" r:id="rId646"/>
    <hyperlink xmlns:r="http://schemas.openxmlformats.org/officeDocument/2006/relationships" ref="L328" r:id="rId647"/>
    <hyperlink xmlns:r="http://schemas.openxmlformats.org/officeDocument/2006/relationships" ref="M328" r:id="rId648"/>
    <hyperlink xmlns:r="http://schemas.openxmlformats.org/officeDocument/2006/relationships" ref="L329" r:id="rId649"/>
    <hyperlink xmlns:r="http://schemas.openxmlformats.org/officeDocument/2006/relationships" ref="M329" r:id="rId650"/>
    <hyperlink xmlns:r="http://schemas.openxmlformats.org/officeDocument/2006/relationships" ref="L330" r:id="rId651"/>
    <hyperlink xmlns:r="http://schemas.openxmlformats.org/officeDocument/2006/relationships" ref="M330" r:id="rId652"/>
    <hyperlink xmlns:r="http://schemas.openxmlformats.org/officeDocument/2006/relationships" ref="L331" r:id="rId653"/>
    <hyperlink xmlns:r="http://schemas.openxmlformats.org/officeDocument/2006/relationships" ref="M331" r:id="rId654"/>
    <hyperlink xmlns:r="http://schemas.openxmlformats.org/officeDocument/2006/relationships" ref="L332" r:id="rId655"/>
    <hyperlink xmlns:r="http://schemas.openxmlformats.org/officeDocument/2006/relationships" ref="M332" r:id="rId656"/>
    <hyperlink xmlns:r="http://schemas.openxmlformats.org/officeDocument/2006/relationships" ref="L333" r:id="rId657"/>
    <hyperlink xmlns:r="http://schemas.openxmlformats.org/officeDocument/2006/relationships" ref="M333" r:id="rId658"/>
    <hyperlink xmlns:r="http://schemas.openxmlformats.org/officeDocument/2006/relationships" ref="L334" r:id="rId659"/>
    <hyperlink xmlns:r="http://schemas.openxmlformats.org/officeDocument/2006/relationships" ref="M334" r:id="rId660"/>
    <hyperlink xmlns:r="http://schemas.openxmlformats.org/officeDocument/2006/relationships" ref="L335" r:id="rId661"/>
    <hyperlink xmlns:r="http://schemas.openxmlformats.org/officeDocument/2006/relationships" ref="M335" r:id="rId662"/>
    <hyperlink xmlns:r="http://schemas.openxmlformats.org/officeDocument/2006/relationships" ref="L336" r:id="rId663"/>
    <hyperlink xmlns:r="http://schemas.openxmlformats.org/officeDocument/2006/relationships" ref="M336" r:id="rId664"/>
    <hyperlink xmlns:r="http://schemas.openxmlformats.org/officeDocument/2006/relationships" ref="L337" r:id="rId665"/>
    <hyperlink xmlns:r="http://schemas.openxmlformats.org/officeDocument/2006/relationships" ref="M337" r:id="rId666"/>
    <hyperlink xmlns:r="http://schemas.openxmlformats.org/officeDocument/2006/relationships" ref="L338" r:id="rId667"/>
    <hyperlink xmlns:r="http://schemas.openxmlformats.org/officeDocument/2006/relationships" ref="M338" r:id="rId668"/>
    <hyperlink xmlns:r="http://schemas.openxmlformats.org/officeDocument/2006/relationships" ref="L339" r:id="rId669"/>
    <hyperlink xmlns:r="http://schemas.openxmlformats.org/officeDocument/2006/relationships" ref="M339" r:id="rId670"/>
    <hyperlink xmlns:r="http://schemas.openxmlformats.org/officeDocument/2006/relationships" ref="L340" r:id="rId671"/>
    <hyperlink xmlns:r="http://schemas.openxmlformats.org/officeDocument/2006/relationships" ref="M340" r:id="rId672"/>
    <hyperlink xmlns:r="http://schemas.openxmlformats.org/officeDocument/2006/relationships" ref="L341" r:id="rId673"/>
    <hyperlink xmlns:r="http://schemas.openxmlformats.org/officeDocument/2006/relationships" ref="M341" r:id="rId674"/>
    <hyperlink xmlns:r="http://schemas.openxmlformats.org/officeDocument/2006/relationships" ref="L342" r:id="rId675"/>
    <hyperlink xmlns:r="http://schemas.openxmlformats.org/officeDocument/2006/relationships" ref="M342" r:id="rId676"/>
    <hyperlink xmlns:r="http://schemas.openxmlformats.org/officeDocument/2006/relationships" ref="L343" r:id="rId677"/>
    <hyperlink xmlns:r="http://schemas.openxmlformats.org/officeDocument/2006/relationships" ref="M343" r:id="rId678"/>
    <hyperlink xmlns:r="http://schemas.openxmlformats.org/officeDocument/2006/relationships" ref="L344" r:id="rId679"/>
    <hyperlink xmlns:r="http://schemas.openxmlformats.org/officeDocument/2006/relationships" ref="M344" r:id="rId680"/>
    <hyperlink xmlns:r="http://schemas.openxmlformats.org/officeDocument/2006/relationships" ref="L345" r:id="rId681"/>
    <hyperlink xmlns:r="http://schemas.openxmlformats.org/officeDocument/2006/relationships" ref="M345" r:id="rId682"/>
    <hyperlink xmlns:r="http://schemas.openxmlformats.org/officeDocument/2006/relationships" ref="L346" r:id="rId683"/>
    <hyperlink xmlns:r="http://schemas.openxmlformats.org/officeDocument/2006/relationships" ref="M346" r:id="rId684"/>
    <hyperlink xmlns:r="http://schemas.openxmlformats.org/officeDocument/2006/relationships" ref="L347" r:id="rId685"/>
    <hyperlink xmlns:r="http://schemas.openxmlformats.org/officeDocument/2006/relationships" ref="M347" r:id="rId686"/>
    <hyperlink xmlns:r="http://schemas.openxmlformats.org/officeDocument/2006/relationships" ref="L348" r:id="rId687"/>
    <hyperlink xmlns:r="http://schemas.openxmlformats.org/officeDocument/2006/relationships" ref="M348" r:id="rId688"/>
    <hyperlink xmlns:r="http://schemas.openxmlformats.org/officeDocument/2006/relationships" ref="L349" r:id="rId689"/>
    <hyperlink xmlns:r="http://schemas.openxmlformats.org/officeDocument/2006/relationships" ref="M349" r:id="rId690"/>
    <hyperlink xmlns:r="http://schemas.openxmlformats.org/officeDocument/2006/relationships" ref="L350" r:id="rId691"/>
    <hyperlink xmlns:r="http://schemas.openxmlformats.org/officeDocument/2006/relationships" ref="M350" r:id="rId692"/>
    <hyperlink xmlns:r="http://schemas.openxmlformats.org/officeDocument/2006/relationships" ref="L351" r:id="rId693"/>
    <hyperlink xmlns:r="http://schemas.openxmlformats.org/officeDocument/2006/relationships" ref="M351" r:id="rId694"/>
    <hyperlink xmlns:r="http://schemas.openxmlformats.org/officeDocument/2006/relationships" ref="L352" r:id="rId695"/>
    <hyperlink xmlns:r="http://schemas.openxmlformats.org/officeDocument/2006/relationships" ref="M352" r:id="rId696"/>
    <hyperlink xmlns:r="http://schemas.openxmlformats.org/officeDocument/2006/relationships" ref="L353" r:id="rId697"/>
    <hyperlink xmlns:r="http://schemas.openxmlformats.org/officeDocument/2006/relationships" ref="M353" r:id="rId698"/>
    <hyperlink xmlns:r="http://schemas.openxmlformats.org/officeDocument/2006/relationships" ref="L354" r:id="rId699"/>
    <hyperlink xmlns:r="http://schemas.openxmlformats.org/officeDocument/2006/relationships" ref="M354" r:id="rId700"/>
    <hyperlink xmlns:r="http://schemas.openxmlformats.org/officeDocument/2006/relationships" ref="L355" r:id="rId701"/>
    <hyperlink xmlns:r="http://schemas.openxmlformats.org/officeDocument/2006/relationships" ref="M355" r:id="rId702"/>
    <hyperlink xmlns:r="http://schemas.openxmlformats.org/officeDocument/2006/relationships" ref="L356" r:id="rId703"/>
    <hyperlink xmlns:r="http://schemas.openxmlformats.org/officeDocument/2006/relationships" ref="M356" r:id="rId704"/>
    <hyperlink xmlns:r="http://schemas.openxmlformats.org/officeDocument/2006/relationships" ref="L357" r:id="rId705"/>
    <hyperlink xmlns:r="http://schemas.openxmlformats.org/officeDocument/2006/relationships" ref="M357" r:id="rId706"/>
    <hyperlink xmlns:r="http://schemas.openxmlformats.org/officeDocument/2006/relationships" ref="L358" r:id="rId707"/>
    <hyperlink xmlns:r="http://schemas.openxmlformats.org/officeDocument/2006/relationships" ref="M358" r:id="rId708"/>
    <hyperlink xmlns:r="http://schemas.openxmlformats.org/officeDocument/2006/relationships" ref="L359" r:id="rId709"/>
    <hyperlink xmlns:r="http://schemas.openxmlformats.org/officeDocument/2006/relationships" ref="M359" r:id="rId710"/>
    <hyperlink xmlns:r="http://schemas.openxmlformats.org/officeDocument/2006/relationships" ref="L360" r:id="rId711"/>
    <hyperlink xmlns:r="http://schemas.openxmlformats.org/officeDocument/2006/relationships" ref="M360" r:id="rId712"/>
    <hyperlink xmlns:r="http://schemas.openxmlformats.org/officeDocument/2006/relationships" ref="L361" r:id="rId713"/>
    <hyperlink xmlns:r="http://schemas.openxmlformats.org/officeDocument/2006/relationships" ref="M361" r:id="rId714"/>
    <hyperlink xmlns:r="http://schemas.openxmlformats.org/officeDocument/2006/relationships" ref="L362" r:id="rId715"/>
    <hyperlink xmlns:r="http://schemas.openxmlformats.org/officeDocument/2006/relationships" ref="M362" r:id="rId716"/>
    <hyperlink xmlns:r="http://schemas.openxmlformats.org/officeDocument/2006/relationships" ref="L363" r:id="rId717"/>
    <hyperlink xmlns:r="http://schemas.openxmlformats.org/officeDocument/2006/relationships" ref="M363" r:id="rId718"/>
    <hyperlink xmlns:r="http://schemas.openxmlformats.org/officeDocument/2006/relationships" ref="L364" r:id="rId719"/>
    <hyperlink xmlns:r="http://schemas.openxmlformats.org/officeDocument/2006/relationships" ref="M364" r:id="rId720"/>
    <hyperlink xmlns:r="http://schemas.openxmlformats.org/officeDocument/2006/relationships" ref="L365" r:id="rId721"/>
    <hyperlink xmlns:r="http://schemas.openxmlformats.org/officeDocument/2006/relationships" ref="M365" r:id="rId722"/>
    <hyperlink xmlns:r="http://schemas.openxmlformats.org/officeDocument/2006/relationships" ref="L366" r:id="rId723"/>
    <hyperlink xmlns:r="http://schemas.openxmlformats.org/officeDocument/2006/relationships" ref="M366" r:id="rId724"/>
    <hyperlink xmlns:r="http://schemas.openxmlformats.org/officeDocument/2006/relationships" ref="L367" r:id="rId725"/>
    <hyperlink xmlns:r="http://schemas.openxmlformats.org/officeDocument/2006/relationships" ref="M367" r:id="rId726"/>
    <hyperlink xmlns:r="http://schemas.openxmlformats.org/officeDocument/2006/relationships" ref="L368" r:id="rId727"/>
    <hyperlink xmlns:r="http://schemas.openxmlformats.org/officeDocument/2006/relationships" ref="M368" r:id="rId728"/>
    <hyperlink xmlns:r="http://schemas.openxmlformats.org/officeDocument/2006/relationships" ref="L369" r:id="rId729"/>
    <hyperlink xmlns:r="http://schemas.openxmlformats.org/officeDocument/2006/relationships" ref="M369" r:id="rId730"/>
    <hyperlink xmlns:r="http://schemas.openxmlformats.org/officeDocument/2006/relationships" ref="L370" r:id="rId731"/>
    <hyperlink xmlns:r="http://schemas.openxmlformats.org/officeDocument/2006/relationships" ref="M370" r:id="rId732"/>
    <hyperlink xmlns:r="http://schemas.openxmlformats.org/officeDocument/2006/relationships" ref="L371" r:id="rId733"/>
    <hyperlink xmlns:r="http://schemas.openxmlformats.org/officeDocument/2006/relationships" ref="M371" r:id="rId734"/>
    <hyperlink xmlns:r="http://schemas.openxmlformats.org/officeDocument/2006/relationships" ref="L372" r:id="rId735"/>
    <hyperlink xmlns:r="http://schemas.openxmlformats.org/officeDocument/2006/relationships" ref="M372" r:id="rId736"/>
    <hyperlink xmlns:r="http://schemas.openxmlformats.org/officeDocument/2006/relationships" ref="L373" r:id="rId737"/>
    <hyperlink xmlns:r="http://schemas.openxmlformats.org/officeDocument/2006/relationships" ref="M373" r:id="rId738"/>
    <hyperlink xmlns:r="http://schemas.openxmlformats.org/officeDocument/2006/relationships" ref="L374" r:id="rId739"/>
    <hyperlink xmlns:r="http://schemas.openxmlformats.org/officeDocument/2006/relationships" ref="M374" r:id="rId740"/>
    <hyperlink xmlns:r="http://schemas.openxmlformats.org/officeDocument/2006/relationships" ref="L375" r:id="rId741"/>
    <hyperlink xmlns:r="http://schemas.openxmlformats.org/officeDocument/2006/relationships" ref="M375" r:id="rId742"/>
    <hyperlink xmlns:r="http://schemas.openxmlformats.org/officeDocument/2006/relationships" ref="L376" r:id="rId743"/>
    <hyperlink xmlns:r="http://schemas.openxmlformats.org/officeDocument/2006/relationships" ref="M376" r:id="rId744"/>
    <hyperlink xmlns:r="http://schemas.openxmlformats.org/officeDocument/2006/relationships" ref="L377" r:id="rId745"/>
    <hyperlink xmlns:r="http://schemas.openxmlformats.org/officeDocument/2006/relationships" ref="M377" r:id="rId746"/>
    <hyperlink xmlns:r="http://schemas.openxmlformats.org/officeDocument/2006/relationships" ref="L378" r:id="rId747"/>
    <hyperlink xmlns:r="http://schemas.openxmlformats.org/officeDocument/2006/relationships" ref="M378" r:id="rId748"/>
    <hyperlink xmlns:r="http://schemas.openxmlformats.org/officeDocument/2006/relationships" ref="L379" r:id="rId749"/>
    <hyperlink xmlns:r="http://schemas.openxmlformats.org/officeDocument/2006/relationships" ref="M379" r:id="rId750"/>
    <hyperlink xmlns:r="http://schemas.openxmlformats.org/officeDocument/2006/relationships" ref="L380" r:id="rId751"/>
    <hyperlink xmlns:r="http://schemas.openxmlformats.org/officeDocument/2006/relationships" ref="M380" r:id="rId752"/>
    <hyperlink xmlns:r="http://schemas.openxmlformats.org/officeDocument/2006/relationships" ref="L381" r:id="rId753"/>
    <hyperlink xmlns:r="http://schemas.openxmlformats.org/officeDocument/2006/relationships" ref="M381" r:id="rId754"/>
    <hyperlink xmlns:r="http://schemas.openxmlformats.org/officeDocument/2006/relationships" ref="L382" r:id="rId755"/>
    <hyperlink xmlns:r="http://schemas.openxmlformats.org/officeDocument/2006/relationships" ref="M382" r:id="rId756"/>
    <hyperlink xmlns:r="http://schemas.openxmlformats.org/officeDocument/2006/relationships" ref="L383" r:id="rId757"/>
    <hyperlink xmlns:r="http://schemas.openxmlformats.org/officeDocument/2006/relationships" ref="M383" r:id="rId758"/>
    <hyperlink xmlns:r="http://schemas.openxmlformats.org/officeDocument/2006/relationships" ref="L384" r:id="rId759"/>
    <hyperlink xmlns:r="http://schemas.openxmlformats.org/officeDocument/2006/relationships" ref="M384" r:id="rId760"/>
    <hyperlink xmlns:r="http://schemas.openxmlformats.org/officeDocument/2006/relationships" ref="L385" r:id="rId761"/>
    <hyperlink xmlns:r="http://schemas.openxmlformats.org/officeDocument/2006/relationships" ref="M385" r:id="rId762"/>
    <hyperlink xmlns:r="http://schemas.openxmlformats.org/officeDocument/2006/relationships" ref="L386" r:id="rId763"/>
    <hyperlink xmlns:r="http://schemas.openxmlformats.org/officeDocument/2006/relationships" ref="M386" r:id="rId764"/>
    <hyperlink xmlns:r="http://schemas.openxmlformats.org/officeDocument/2006/relationships" ref="L387" r:id="rId765"/>
    <hyperlink xmlns:r="http://schemas.openxmlformats.org/officeDocument/2006/relationships" ref="M387" r:id="rId766"/>
    <hyperlink xmlns:r="http://schemas.openxmlformats.org/officeDocument/2006/relationships" ref="L388" r:id="rId767"/>
    <hyperlink xmlns:r="http://schemas.openxmlformats.org/officeDocument/2006/relationships" ref="M388" r:id="rId768"/>
    <hyperlink xmlns:r="http://schemas.openxmlformats.org/officeDocument/2006/relationships" ref="L389" r:id="rId769"/>
    <hyperlink xmlns:r="http://schemas.openxmlformats.org/officeDocument/2006/relationships" ref="M389" r:id="rId770"/>
    <hyperlink xmlns:r="http://schemas.openxmlformats.org/officeDocument/2006/relationships" ref="L390" r:id="rId771"/>
    <hyperlink xmlns:r="http://schemas.openxmlformats.org/officeDocument/2006/relationships" ref="M390" r:id="rId772"/>
    <hyperlink xmlns:r="http://schemas.openxmlformats.org/officeDocument/2006/relationships" ref="L391" r:id="rId773"/>
    <hyperlink xmlns:r="http://schemas.openxmlformats.org/officeDocument/2006/relationships" ref="M391" r:id="rId774"/>
    <hyperlink xmlns:r="http://schemas.openxmlformats.org/officeDocument/2006/relationships" ref="L392" r:id="rId775"/>
    <hyperlink xmlns:r="http://schemas.openxmlformats.org/officeDocument/2006/relationships" ref="M392" r:id="rId776"/>
    <hyperlink xmlns:r="http://schemas.openxmlformats.org/officeDocument/2006/relationships" ref="L393" r:id="rId777"/>
    <hyperlink xmlns:r="http://schemas.openxmlformats.org/officeDocument/2006/relationships" ref="M393" r:id="rId778"/>
    <hyperlink xmlns:r="http://schemas.openxmlformats.org/officeDocument/2006/relationships" ref="L394" r:id="rId779"/>
    <hyperlink xmlns:r="http://schemas.openxmlformats.org/officeDocument/2006/relationships" ref="M394" r:id="rId780"/>
    <hyperlink xmlns:r="http://schemas.openxmlformats.org/officeDocument/2006/relationships" ref="L395" r:id="rId781"/>
    <hyperlink xmlns:r="http://schemas.openxmlformats.org/officeDocument/2006/relationships" ref="M395" r:id="rId782"/>
    <hyperlink xmlns:r="http://schemas.openxmlformats.org/officeDocument/2006/relationships" ref="L396" r:id="rId783"/>
    <hyperlink xmlns:r="http://schemas.openxmlformats.org/officeDocument/2006/relationships" ref="M396" r:id="rId784"/>
    <hyperlink xmlns:r="http://schemas.openxmlformats.org/officeDocument/2006/relationships" ref="L397" r:id="rId785"/>
    <hyperlink xmlns:r="http://schemas.openxmlformats.org/officeDocument/2006/relationships" ref="M397" r:id="rId786"/>
    <hyperlink xmlns:r="http://schemas.openxmlformats.org/officeDocument/2006/relationships" ref="L398" r:id="rId787"/>
    <hyperlink xmlns:r="http://schemas.openxmlformats.org/officeDocument/2006/relationships" ref="M398" r:id="rId788"/>
    <hyperlink xmlns:r="http://schemas.openxmlformats.org/officeDocument/2006/relationships" ref="L399" r:id="rId789"/>
    <hyperlink xmlns:r="http://schemas.openxmlformats.org/officeDocument/2006/relationships" ref="M399" r:id="rId790"/>
    <hyperlink xmlns:r="http://schemas.openxmlformats.org/officeDocument/2006/relationships" ref="L400" r:id="rId791"/>
    <hyperlink xmlns:r="http://schemas.openxmlformats.org/officeDocument/2006/relationships" ref="M400" r:id="rId792"/>
    <hyperlink xmlns:r="http://schemas.openxmlformats.org/officeDocument/2006/relationships" ref="L401" r:id="rId793"/>
    <hyperlink xmlns:r="http://schemas.openxmlformats.org/officeDocument/2006/relationships" ref="M401" r:id="rId794"/>
    <hyperlink xmlns:r="http://schemas.openxmlformats.org/officeDocument/2006/relationships" ref="L402" r:id="rId795"/>
    <hyperlink xmlns:r="http://schemas.openxmlformats.org/officeDocument/2006/relationships" ref="M402" r:id="rId796"/>
    <hyperlink xmlns:r="http://schemas.openxmlformats.org/officeDocument/2006/relationships" ref="L403" r:id="rId797"/>
    <hyperlink xmlns:r="http://schemas.openxmlformats.org/officeDocument/2006/relationships" ref="M403" r:id="rId798"/>
    <hyperlink xmlns:r="http://schemas.openxmlformats.org/officeDocument/2006/relationships" ref="L404" r:id="rId799"/>
    <hyperlink xmlns:r="http://schemas.openxmlformats.org/officeDocument/2006/relationships" ref="M404" r:id="rId800"/>
    <hyperlink xmlns:r="http://schemas.openxmlformats.org/officeDocument/2006/relationships" ref="L405" r:id="rId801"/>
    <hyperlink xmlns:r="http://schemas.openxmlformats.org/officeDocument/2006/relationships" ref="M405" r:id="rId802"/>
    <hyperlink xmlns:r="http://schemas.openxmlformats.org/officeDocument/2006/relationships" ref="L406" r:id="rId803"/>
    <hyperlink xmlns:r="http://schemas.openxmlformats.org/officeDocument/2006/relationships" ref="M406" r:id="rId804"/>
    <hyperlink xmlns:r="http://schemas.openxmlformats.org/officeDocument/2006/relationships" ref="L407" r:id="rId805"/>
    <hyperlink xmlns:r="http://schemas.openxmlformats.org/officeDocument/2006/relationships" ref="M407" r:id="rId806"/>
    <hyperlink xmlns:r="http://schemas.openxmlformats.org/officeDocument/2006/relationships" ref="L408" r:id="rId807"/>
    <hyperlink xmlns:r="http://schemas.openxmlformats.org/officeDocument/2006/relationships" ref="M408" r:id="rId808"/>
    <hyperlink xmlns:r="http://schemas.openxmlformats.org/officeDocument/2006/relationships" ref="L409" r:id="rId809"/>
    <hyperlink xmlns:r="http://schemas.openxmlformats.org/officeDocument/2006/relationships" ref="M409" r:id="rId810"/>
    <hyperlink xmlns:r="http://schemas.openxmlformats.org/officeDocument/2006/relationships" ref="L410" r:id="rId811"/>
    <hyperlink xmlns:r="http://schemas.openxmlformats.org/officeDocument/2006/relationships" ref="M410" r:id="rId812"/>
    <hyperlink xmlns:r="http://schemas.openxmlformats.org/officeDocument/2006/relationships" ref="L411" r:id="rId813"/>
    <hyperlink xmlns:r="http://schemas.openxmlformats.org/officeDocument/2006/relationships" ref="M411" r:id="rId814"/>
    <hyperlink xmlns:r="http://schemas.openxmlformats.org/officeDocument/2006/relationships" ref="L412" r:id="rId815"/>
    <hyperlink xmlns:r="http://schemas.openxmlformats.org/officeDocument/2006/relationships" ref="M412" r:id="rId816"/>
    <hyperlink xmlns:r="http://schemas.openxmlformats.org/officeDocument/2006/relationships" ref="L413" r:id="rId817"/>
    <hyperlink xmlns:r="http://schemas.openxmlformats.org/officeDocument/2006/relationships" ref="M413" r:id="rId818"/>
    <hyperlink xmlns:r="http://schemas.openxmlformats.org/officeDocument/2006/relationships" ref="L414" r:id="rId819"/>
    <hyperlink xmlns:r="http://schemas.openxmlformats.org/officeDocument/2006/relationships" ref="M414" r:id="rId820"/>
    <hyperlink xmlns:r="http://schemas.openxmlformats.org/officeDocument/2006/relationships" ref="L415" r:id="rId821"/>
    <hyperlink xmlns:r="http://schemas.openxmlformats.org/officeDocument/2006/relationships" ref="M415" r:id="rId822"/>
    <hyperlink xmlns:r="http://schemas.openxmlformats.org/officeDocument/2006/relationships" ref="L416" r:id="rId823"/>
    <hyperlink xmlns:r="http://schemas.openxmlformats.org/officeDocument/2006/relationships" ref="M416" r:id="rId824"/>
    <hyperlink xmlns:r="http://schemas.openxmlformats.org/officeDocument/2006/relationships" ref="L417" r:id="rId825"/>
    <hyperlink xmlns:r="http://schemas.openxmlformats.org/officeDocument/2006/relationships" ref="M417" r:id="rId826"/>
    <hyperlink xmlns:r="http://schemas.openxmlformats.org/officeDocument/2006/relationships" ref="L418" r:id="rId827"/>
    <hyperlink xmlns:r="http://schemas.openxmlformats.org/officeDocument/2006/relationships" ref="M418" r:id="rId828"/>
    <hyperlink xmlns:r="http://schemas.openxmlformats.org/officeDocument/2006/relationships" ref="L419" r:id="rId829"/>
    <hyperlink xmlns:r="http://schemas.openxmlformats.org/officeDocument/2006/relationships" ref="M419" r:id="rId830"/>
    <hyperlink xmlns:r="http://schemas.openxmlformats.org/officeDocument/2006/relationships" ref="L420" r:id="rId831"/>
    <hyperlink xmlns:r="http://schemas.openxmlformats.org/officeDocument/2006/relationships" ref="M420" r:id="rId832"/>
    <hyperlink xmlns:r="http://schemas.openxmlformats.org/officeDocument/2006/relationships" ref="L421" r:id="rId833"/>
    <hyperlink xmlns:r="http://schemas.openxmlformats.org/officeDocument/2006/relationships" ref="M421" r:id="rId834"/>
    <hyperlink xmlns:r="http://schemas.openxmlformats.org/officeDocument/2006/relationships" ref="L422" r:id="rId835"/>
    <hyperlink xmlns:r="http://schemas.openxmlformats.org/officeDocument/2006/relationships" ref="M422" r:id="rId836"/>
    <hyperlink xmlns:r="http://schemas.openxmlformats.org/officeDocument/2006/relationships" ref="L423" r:id="rId837"/>
    <hyperlink xmlns:r="http://schemas.openxmlformats.org/officeDocument/2006/relationships" ref="M423" r:id="rId838"/>
    <hyperlink xmlns:r="http://schemas.openxmlformats.org/officeDocument/2006/relationships" ref="L424" r:id="rId839"/>
    <hyperlink xmlns:r="http://schemas.openxmlformats.org/officeDocument/2006/relationships" ref="M424" r:id="rId840"/>
    <hyperlink xmlns:r="http://schemas.openxmlformats.org/officeDocument/2006/relationships" ref="L425" r:id="rId841"/>
    <hyperlink xmlns:r="http://schemas.openxmlformats.org/officeDocument/2006/relationships" ref="M425" r:id="rId842"/>
    <hyperlink xmlns:r="http://schemas.openxmlformats.org/officeDocument/2006/relationships" ref="L426" r:id="rId843"/>
    <hyperlink xmlns:r="http://schemas.openxmlformats.org/officeDocument/2006/relationships" ref="M426" r:id="rId844"/>
    <hyperlink xmlns:r="http://schemas.openxmlformats.org/officeDocument/2006/relationships" ref="L427" r:id="rId845"/>
    <hyperlink xmlns:r="http://schemas.openxmlformats.org/officeDocument/2006/relationships" ref="M427" r:id="rId846"/>
    <hyperlink xmlns:r="http://schemas.openxmlformats.org/officeDocument/2006/relationships" ref="L428" r:id="rId847"/>
    <hyperlink xmlns:r="http://schemas.openxmlformats.org/officeDocument/2006/relationships" ref="M428" r:id="rId848"/>
    <hyperlink xmlns:r="http://schemas.openxmlformats.org/officeDocument/2006/relationships" ref="L429" r:id="rId849"/>
    <hyperlink xmlns:r="http://schemas.openxmlformats.org/officeDocument/2006/relationships" ref="M429" r:id="rId850"/>
    <hyperlink xmlns:r="http://schemas.openxmlformats.org/officeDocument/2006/relationships" ref="L430" r:id="rId851"/>
    <hyperlink xmlns:r="http://schemas.openxmlformats.org/officeDocument/2006/relationships" ref="M430" r:id="rId852"/>
    <hyperlink xmlns:r="http://schemas.openxmlformats.org/officeDocument/2006/relationships" ref="L431" r:id="rId853"/>
    <hyperlink xmlns:r="http://schemas.openxmlformats.org/officeDocument/2006/relationships" ref="M431" r:id="rId854"/>
    <hyperlink xmlns:r="http://schemas.openxmlformats.org/officeDocument/2006/relationships" ref="L432" r:id="rId855"/>
    <hyperlink xmlns:r="http://schemas.openxmlformats.org/officeDocument/2006/relationships" ref="M432" r:id="rId856"/>
    <hyperlink xmlns:r="http://schemas.openxmlformats.org/officeDocument/2006/relationships" ref="L433" r:id="rId857"/>
    <hyperlink xmlns:r="http://schemas.openxmlformats.org/officeDocument/2006/relationships" ref="M433" r:id="rId858"/>
    <hyperlink xmlns:r="http://schemas.openxmlformats.org/officeDocument/2006/relationships" ref="L434" r:id="rId859"/>
    <hyperlink xmlns:r="http://schemas.openxmlformats.org/officeDocument/2006/relationships" ref="M434" r:id="rId860"/>
    <hyperlink xmlns:r="http://schemas.openxmlformats.org/officeDocument/2006/relationships" ref="L435" r:id="rId861"/>
    <hyperlink xmlns:r="http://schemas.openxmlformats.org/officeDocument/2006/relationships" ref="M435" r:id="rId862"/>
    <hyperlink xmlns:r="http://schemas.openxmlformats.org/officeDocument/2006/relationships" ref="L436" r:id="rId863"/>
    <hyperlink xmlns:r="http://schemas.openxmlformats.org/officeDocument/2006/relationships" ref="M436" r:id="rId864"/>
    <hyperlink xmlns:r="http://schemas.openxmlformats.org/officeDocument/2006/relationships" ref="L437" r:id="rId865"/>
    <hyperlink xmlns:r="http://schemas.openxmlformats.org/officeDocument/2006/relationships" ref="M437" r:id="rId866"/>
    <hyperlink xmlns:r="http://schemas.openxmlformats.org/officeDocument/2006/relationships" ref="L438" r:id="rId867"/>
    <hyperlink xmlns:r="http://schemas.openxmlformats.org/officeDocument/2006/relationships" ref="M438" r:id="rId868"/>
    <hyperlink xmlns:r="http://schemas.openxmlformats.org/officeDocument/2006/relationships" ref="L439" r:id="rId869"/>
    <hyperlink xmlns:r="http://schemas.openxmlformats.org/officeDocument/2006/relationships" ref="M439" r:id="rId870"/>
    <hyperlink xmlns:r="http://schemas.openxmlformats.org/officeDocument/2006/relationships" ref="L440" r:id="rId871"/>
    <hyperlink xmlns:r="http://schemas.openxmlformats.org/officeDocument/2006/relationships" ref="M440" r:id="rId872"/>
    <hyperlink xmlns:r="http://schemas.openxmlformats.org/officeDocument/2006/relationships" ref="L441" r:id="rId873"/>
    <hyperlink xmlns:r="http://schemas.openxmlformats.org/officeDocument/2006/relationships" ref="M441" r:id="rId874"/>
    <hyperlink xmlns:r="http://schemas.openxmlformats.org/officeDocument/2006/relationships" ref="L442" r:id="rId875"/>
    <hyperlink xmlns:r="http://schemas.openxmlformats.org/officeDocument/2006/relationships" ref="M442" r:id="rId876"/>
    <hyperlink xmlns:r="http://schemas.openxmlformats.org/officeDocument/2006/relationships" ref="L443" r:id="rId877"/>
    <hyperlink xmlns:r="http://schemas.openxmlformats.org/officeDocument/2006/relationships" ref="M443" r:id="rId878"/>
    <hyperlink xmlns:r="http://schemas.openxmlformats.org/officeDocument/2006/relationships" ref="L444" r:id="rId879"/>
    <hyperlink xmlns:r="http://schemas.openxmlformats.org/officeDocument/2006/relationships" ref="M444" r:id="rId880"/>
    <hyperlink xmlns:r="http://schemas.openxmlformats.org/officeDocument/2006/relationships" ref="L445" r:id="rId881"/>
    <hyperlink xmlns:r="http://schemas.openxmlformats.org/officeDocument/2006/relationships" ref="M445" r:id="rId882"/>
    <hyperlink xmlns:r="http://schemas.openxmlformats.org/officeDocument/2006/relationships" ref="L446" r:id="rId883"/>
    <hyperlink xmlns:r="http://schemas.openxmlformats.org/officeDocument/2006/relationships" ref="M446" r:id="rId884"/>
    <hyperlink xmlns:r="http://schemas.openxmlformats.org/officeDocument/2006/relationships" ref="L447" r:id="rId885"/>
    <hyperlink xmlns:r="http://schemas.openxmlformats.org/officeDocument/2006/relationships" ref="M447" r:id="rId886"/>
    <hyperlink xmlns:r="http://schemas.openxmlformats.org/officeDocument/2006/relationships" ref="L448" r:id="rId887"/>
    <hyperlink xmlns:r="http://schemas.openxmlformats.org/officeDocument/2006/relationships" ref="M448" r:id="rId888"/>
    <hyperlink xmlns:r="http://schemas.openxmlformats.org/officeDocument/2006/relationships" ref="L449" r:id="rId889"/>
    <hyperlink xmlns:r="http://schemas.openxmlformats.org/officeDocument/2006/relationships" ref="M449" r:id="rId890"/>
    <hyperlink xmlns:r="http://schemas.openxmlformats.org/officeDocument/2006/relationships" ref="L450" r:id="rId891"/>
    <hyperlink xmlns:r="http://schemas.openxmlformats.org/officeDocument/2006/relationships" ref="M450" r:id="rId892"/>
    <hyperlink xmlns:r="http://schemas.openxmlformats.org/officeDocument/2006/relationships" ref="L451" r:id="rId893"/>
    <hyperlink xmlns:r="http://schemas.openxmlformats.org/officeDocument/2006/relationships" ref="M451" r:id="rId894"/>
    <hyperlink xmlns:r="http://schemas.openxmlformats.org/officeDocument/2006/relationships" ref="L452" r:id="rId895"/>
    <hyperlink xmlns:r="http://schemas.openxmlformats.org/officeDocument/2006/relationships" ref="M452" r:id="rId896"/>
    <hyperlink xmlns:r="http://schemas.openxmlformats.org/officeDocument/2006/relationships" ref="L453" r:id="rId897"/>
    <hyperlink xmlns:r="http://schemas.openxmlformats.org/officeDocument/2006/relationships" ref="M453" r:id="rId898"/>
    <hyperlink xmlns:r="http://schemas.openxmlformats.org/officeDocument/2006/relationships" ref="L454" r:id="rId899"/>
    <hyperlink xmlns:r="http://schemas.openxmlformats.org/officeDocument/2006/relationships" ref="M454" r:id="rId900"/>
    <hyperlink xmlns:r="http://schemas.openxmlformats.org/officeDocument/2006/relationships" ref="L455" r:id="rId901"/>
    <hyperlink xmlns:r="http://schemas.openxmlformats.org/officeDocument/2006/relationships" ref="M455" r:id="rId902"/>
    <hyperlink xmlns:r="http://schemas.openxmlformats.org/officeDocument/2006/relationships" ref="L456" r:id="rId903"/>
    <hyperlink xmlns:r="http://schemas.openxmlformats.org/officeDocument/2006/relationships" ref="M456" r:id="rId904"/>
    <hyperlink xmlns:r="http://schemas.openxmlformats.org/officeDocument/2006/relationships" ref="L457" r:id="rId905"/>
    <hyperlink xmlns:r="http://schemas.openxmlformats.org/officeDocument/2006/relationships" ref="M457" r:id="rId906"/>
    <hyperlink xmlns:r="http://schemas.openxmlformats.org/officeDocument/2006/relationships" ref="L458" r:id="rId907"/>
    <hyperlink xmlns:r="http://schemas.openxmlformats.org/officeDocument/2006/relationships" ref="M458" r:id="rId908"/>
    <hyperlink xmlns:r="http://schemas.openxmlformats.org/officeDocument/2006/relationships" ref="L459" r:id="rId909"/>
    <hyperlink xmlns:r="http://schemas.openxmlformats.org/officeDocument/2006/relationships" ref="M459" r:id="rId910"/>
    <hyperlink xmlns:r="http://schemas.openxmlformats.org/officeDocument/2006/relationships" ref="L460" r:id="rId911"/>
    <hyperlink xmlns:r="http://schemas.openxmlformats.org/officeDocument/2006/relationships" ref="M460" r:id="rId912"/>
    <hyperlink xmlns:r="http://schemas.openxmlformats.org/officeDocument/2006/relationships" ref="L461" r:id="rId913"/>
    <hyperlink xmlns:r="http://schemas.openxmlformats.org/officeDocument/2006/relationships" ref="M461" r:id="rId914"/>
    <hyperlink xmlns:r="http://schemas.openxmlformats.org/officeDocument/2006/relationships" ref="L462" r:id="rId915"/>
    <hyperlink xmlns:r="http://schemas.openxmlformats.org/officeDocument/2006/relationships" ref="M462" r:id="rId916"/>
    <hyperlink xmlns:r="http://schemas.openxmlformats.org/officeDocument/2006/relationships" ref="L463" r:id="rId917"/>
    <hyperlink xmlns:r="http://schemas.openxmlformats.org/officeDocument/2006/relationships" ref="M463" r:id="rId918"/>
    <hyperlink xmlns:r="http://schemas.openxmlformats.org/officeDocument/2006/relationships" ref="L464" r:id="rId919"/>
    <hyperlink xmlns:r="http://schemas.openxmlformats.org/officeDocument/2006/relationships" ref="M464" r:id="rId920"/>
    <hyperlink xmlns:r="http://schemas.openxmlformats.org/officeDocument/2006/relationships" ref="L465" r:id="rId921"/>
    <hyperlink xmlns:r="http://schemas.openxmlformats.org/officeDocument/2006/relationships" ref="M465" r:id="rId922"/>
    <hyperlink xmlns:r="http://schemas.openxmlformats.org/officeDocument/2006/relationships" ref="L466" r:id="rId923"/>
    <hyperlink xmlns:r="http://schemas.openxmlformats.org/officeDocument/2006/relationships" ref="M466" r:id="rId924"/>
    <hyperlink xmlns:r="http://schemas.openxmlformats.org/officeDocument/2006/relationships" ref="L467" r:id="rId925"/>
    <hyperlink xmlns:r="http://schemas.openxmlformats.org/officeDocument/2006/relationships" ref="M467" r:id="rId926"/>
    <hyperlink xmlns:r="http://schemas.openxmlformats.org/officeDocument/2006/relationships" ref="L468" r:id="rId927"/>
    <hyperlink xmlns:r="http://schemas.openxmlformats.org/officeDocument/2006/relationships" ref="M468" r:id="rId928"/>
    <hyperlink xmlns:r="http://schemas.openxmlformats.org/officeDocument/2006/relationships" ref="L469" r:id="rId929"/>
    <hyperlink xmlns:r="http://schemas.openxmlformats.org/officeDocument/2006/relationships" ref="M469" r:id="rId930"/>
    <hyperlink xmlns:r="http://schemas.openxmlformats.org/officeDocument/2006/relationships" ref="L470" r:id="rId931"/>
    <hyperlink xmlns:r="http://schemas.openxmlformats.org/officeDocument/2006/relationships" ref="M470" r:id="rId932"/>
    <hyperlink xmlns:r="http://schemas.openxmlformats.org/officeDocument/2006/relationships" ref="L471" r:id="rId933"/>
    <hyperlink xmlns:r="http://schemas.openxmlformats.org/officeDocument/2006/relationships" ref="M471" r:id="rId934"/>
    <hyperlink xmlns:r="http://schemas.openxmlformats.org/officeDocument/2006/relationships" ref="L472" r:id="rId935"/>
    <hyperlink xmlns:r="http://schemas.openxmlformats.org/officeDocument/2006/relationships" ref="M472" r:id="rId936"/>
    <hyperlink xmlns:r="http://schemas.openxmlformats.org/officeDocument/2006/relationships" ref="L473" r:id="rId937"/>
    <hyperlink xmlns:r="http://schemas.openxmlformats.org/officeDocument/2006/relationships" ref="M473" r:id="rId938"/>
    <hyperlink xmlns:r="http://schemas.openxmlformats.org/officeDocument/2006/relationships" ref="L474" r:id="rId939"/>
    <hyperlink xmlns:r="http://schemas.openxmlformats.org/officeDocument/2006/relationships" ref="M474" r:id="rId940"/>
    <hyperlink xmlns:r="http://schemas.openxmlformats.org/officeDocument/2006/relationships" ref="L475" r:id="rId941"/>
    <hyperlink xmlns:r="http://schemas.openxmlformats.org/officeDocument/2006/relationships" ref="M475" r:id="rId942"/>
    <hyperlink xmlns:r="http://schemas.openxmlformats.org/officeDocument/2006/relationships" ref="L476" r:id="rId943"/>
    <hyperlink xmlns:r="http://schemas.openxmlformats.org/officeDocument/2006/relationships" ref="M476" r:id="rId944"/>
    <hyperlink xmlns:r="http://schemas.openxmlformats.org/officeDocument/2006/relationships" ref="L477" r:id="rId945"/>
    <hyperlink xmlns:r="http://schemas.openxmlformats.org/officeDocument/2006/relationships" ref="M477" r:id="rId946"/>
    <hyperlink xmlns:r="http://schemas.openxmlformats.org/officeDocument/2006/relationships" ref="L478" r:id="rId947"/>
    <hyperlink xmlns:r="http://schemas.openxmlformats.org/officeDocument/2006/relationships" ref="M478" r:id="rId948"/>
    <hyperlink xmlns:r="http://schemas.openxmlformats.org/officeDocument/2006/relationships" ref="L479" r:id="rId949"/>
    <hyperlink xmlns:r="http://schemas.openxmlformats.org/officeDocument/2006/relationships" ref="M479" r:id="rId950"/>
    <hyperlink xmlns:r="http://schemas.openxmlformats.org/officeDocument/2006/relationships" ref="L480" r:id="rId951"/>
    <hyperlink xmlns:r="http://schemas.openxmlformats.org/officeDocument/2006/relationships" ref="M480" r:id="rId952"/>
    <hyperlink xmlns:r="http://schemas.openxmlformats.org/officeDocument/2006/relationships" ref="L481" r:id="rId953"/>
    <hyperlink xmlns:r="http://schemas.openxmlformats.org/officeDocument/2006/relationships" ref="M481" r:id="rId954"/>
    <hyperlink xmlns:r="http://schemas.openxmlformats.org/officeDocument/2006/relationships" ref="L482" r:id="rId955"/>
    <hyperlink xmlns:r="http://schemas.openxmlformats.org/officeDocument/2006/relationships" ref="M482" r:id="rId956"/>
    <hyperlink xmlns:r="http://schemas.openxmlformats.org/officeDocument/2006/relationships" ref="L483" r:id="rId957"/>
    <hyperlink xmlns:r="http://schemas.openxmlformats.org/officeDocument/2006/relationships" ref="M483" r:id="rId958"/>
    <hyperlink xmlns:r="http://schemas.openxmlformats.org/officeDocument/2006/relationships" ref="L484" r:id="rId959"/>
    <hyperlink xmlns:r="http://schemas.openxmlformats.org/officeDocument/2006/relationships" ref="M484" r:id="rId960"/>
    <hyperlink xmlns:r="http://schemas.openxmlformats.org/officeDocument/2006/relationships" ref="L485" r:id="rId961"/>
    <hyperlink xmlns:r="http://schemas.openxmlformats.org/officeDocument/2006/relationships" ref="M485" r:id="rId962"/>
    <hyperlink xmlns:r="http://schemas.openxmlformats.org/officeDocument/2006/relationships" ref="L486" r:id="rId963"/>
    <hyperlink xmlns:r="http://schemas.openxmlformats.org/officeDocument/2006/relationships" ref="M486" r:id="rId964"/>
    <hyperlink xmlns:r="http://schemas.openxmlformats.org/officeDocument/2006/relationships" ref="L487" r:id="rId965"/>
    <hyperlink xmlns:r="http://schemas.openxmlformats.org/officeDocument/2006/relationships" ref="M487" r:id="rId966"/>
    <hyperlink xmlns:r="http://schemas.openxmlformats.org/officeDocument/2006/relationships" ref="L488" r:id="rId967"/>
    <hyperlink xmlns:r="http://schemas.openxmlformats.org/officeDocument/2006/relationships" ref="M488" r:id="rId968"/>
    <hyperlink xmlns:r="http://schemas.openxmlformats.org/officeDocument/2006/relationships" ref="L489" r:id="rId969"/>
    <hyperlink xmlns:r="http://schemas.openxmlformats.org/officeDocument/2006/relationships" ref="M489" r:id="rId970"/>
    <hyperlink xmlns:r="http://schemas.openxmlformats.org/officeDocument/2006/relationships" ref="L490" r:id="rId971"/>
    <hyperlink xmlns:r="http://schemas.openxmlformats.org/officeDocument/2006/relationships" ref="M490" r:id="rId972"/>
    <hyperlink xmlns:r="http://schemas.openxmlformats.org/officeDocument/2006/relationships" ref="L491" r:id="rId973"/>
    <hyperlink xmlns:r="http://schemas.openxmlformats.org/officeDocument/2006/relationships" ref="M491" r:id="rId974"/>
    <hyperlink xmlns:r="http://schemas.openxmlformats.org/officeDocument/2006/relationships" ref="L492" r:id="rId975"/>
    <hyperlink xmlns:r="http://schemas.openxmlformats.org/officeDocument/2006/relationships" ref="M492" r:id="rId976"/>
    <hyperlink xmlns:r="http://schemas.openxmlformats.org/officeDocument/2006/relationships" ref="L493" r:id="rId977"/>
    <hyperlink xmlns:r="http://schemas.openxmlformats.org/officeDocument/2006/relationships" ref="M493" r:id="rId978"/>
    <hyperlink xmlns:r="http://schemas.openxmlformats.org/officeDocument/2006/relationships" ref="L494" r:id="rId979"/>
    <hyperlink xmlns:r="http://schemas.openxmlformats.org/officeDocument/2006/relationships" ref="M494" r:id="rId980"/>
    <hyperlink xmlns:r="http://schemas.openxmlformats.org/officeDocument/2006/relationships" ref="L495" r:id="rId981"/>
    <hyperlink xmlns:r="http://schemas.openxmlformats.org/officeDocument/2006/relationships" ref="M495" r:id="rId982"/>
    <hyperlink xmlns:r="http://schemas.openxmlformats.org/officeDocument/2006/relationships" ref="L496" r:id="rId983"/>
    <hyperlink xmlns:r="http://schemas.openxmlformats.org/officeDocument/2006/relationships" ref="M496" r:id="rId984"/>
    <hyperlink xmlns:r="http://schemas.openxmlformats.org/officeDocument/2006/relationships" ref="L497" r:id="rId985"/>
    <hyperlink xmlns:r="http://schemas.openxmlformats.org/officeDocument/2006/relationships" ref="M497" r:id="rId986"/>
    <hyperlink xmlns:r="http://schemas.openxmlformats.org/officeDocument/2006/relationships" ref="L498" r:id="rId987"/>
    <hyperlink xmlns:r="http://schemas.openxmlformats.org/officeDocument/2006/relationships" ref="M498" r:id="rId988"/>
    <hyperlink xmlns:r="http://schemas.openxmlformats.org/officeDocument/2006/relationships" ref="L499" r:id="rId989"/>
    <hyperlink xmlns:r="http://schemas.openxmlformats.org/officeDocument/2006/relationships" ref="M499" r:id="rId990"/>
    <hyperlink xmlns:r="http://schemas.openxmlformats.org/officeDocument/2006/relationships" ref="L500" r:id="rId991"/>
    <hyperlink xmlns:r="http://schemas.openxmlformats.org/officeDocument/2006/relationships" ref="M500" r:id="rId992"/>
    <hyperlink xmlns:r="http://schemas.openxmlformats.org/officeDocument/2006/relationships" ref="L501" r:id="rId993"/>
    <hyperlink xmlns:r="http://schemas.openxmlformats.org/officeDocument/2006/relationships" ref="M501" r:id="rId994"/>
    <hyperlink xmlns:r="http://schemas.openxmlformats.org/officeDocument/2006/relationships" ref="L502" r:id="rId995"/>
    <hyperlink xmlns:r="http://schemas.openxmlformats.org/officeDocument/2006/relationships" ref="M502" r:id="rId996"/>
    <hyperlink xmlns:r="http://schemas.openxmlformats.org/officeDocument/2006/relationships" ref="L503" r:id="rId997"/>
    <hyperlink xmlns:r="http://schemas.openxmlformats.org/officeDocument/2006/relationships" ref="M503" r:id="rId998"/>
    <hyperlink xmlns:r="http://schemas.openxmlformats.org/officeDocument/2006/relationships" ref="L504" r:id="rId999"/>
    <hyperlink xmlns:r="http://schemas.openxmlformats.org/officeDocument/2006/relationships" ref="M504" r:id="rId1000"/>
    <hyperlink xmlns:r="http://schemas.openxmlformats.org/officeDocument/2006/relationships" ref="L505" r:id="rId1001"/>
    <hyperlink xmlns:r="http://schemas.openxmlformats.org/officeDocument/2006/relationships" ref="M505" r:id="rId1002"/>
    <hyperlink xmlns:r="http://schemas.openxmlformats.org/officeDocument/2006/relationships" ref="L506" r:id="rId1003"/>
    <hyperlink xmlns:r="http://schemas.openxmlformats.org/officeDocument/2006/relationships" ref="M506" r:id="rId1004"/>
    <hyperlink xmlns:r="http://schemas.openxmlformats.org/officeDocument/2006/relationships" ref="L507" r:id="rId1005"/>
    <hyperlink xmlns:r="http://schemas.openxmlformats.org/officeDocument/2006/relationships" ref="M507" r:id="rId1006"/>
    <hyperlink xmlns:r="http://schemas.openxmlformats.org/officeDocument/2006/relationships" ref="L508" r:id="rId1007"/>
    <hyperlink xmlns:r="http://schemas.openxmlformats.org/officeDocument/2006/relationships" ref="M508" r:id="rId1008"/>
    <hyperlink xmlns:r="http://schemas.openxmlformats.org/officeDocument/2006/relationships" ref="L509" r:id="rId1009"/>
    <hyperlink xmlns:r="http://schemas.openxmlformats.org/officeDocument/2006/relationships" ref="M509" r:id="rId1010"/>
    <hyperlink xmlns:r="http://schemas.openxmlformats.org/officeDocument/2006/relationships" ref="L510" r:id="rId1011"/>
    <hyperlink xmlns:r="http://schemas.openxmlformats.org/officeDocument/2006/relationships" ref="M510" r:id="rId1012"/>
    <hyperlink xmlns:r="http://schemas.openxmlformats.org/officeDocument/2006/relationships" ref="L511" r:id="rId1013"/>
    <hyperlink xmlns:r="http://schemas.openxmlformats.org/officeDocument/2006/relationships" ref="M511" r:id="rId1014"/>
    <hyperlink xmlns:r="http://schemas.openxmlformats.org/officeDocument/2006/relationships" ref="L512" r:id="rId1015"/>
    <hyperlink xmlns:r="http://schemas.openxmlformats.org/officeDocument/2006/relationships" ref="M512" r:id="rId1016"/>
    <hyperlink xmlns:r="http://schemas.openxmlformats.org/officeDocument/2006/relationships" ref="L513" r:id="rId1017"/>
    <hyperlink xmlns:r="http://schemas.openxmlformats.org/officeDocument/2006/relationships" ref="M513" r:id="rId1018"/>
    <hyperlink xmlns:r="http://schemas.openxmlformats.org/officeDocument/2006/relationships" ref="L514" r:id="rId1019"/>
    <hyperlink xmlns:r="http://schemas.openxmlformats.org/officeDocument/2006/relationships" ref="M514" r:id="rId1020"/>
    <hyperlink xmlns:r="http://schemas.openxmlformats.org/officeDocument/2006/relationships" ref="L515" r:id="rId1021"/>
    <hyperlink xmlns:r="http://schemas.openxmlformats.org/officeDocument/2006/relationships" ref="M515" r:id="rId1022"/>
    <hyperlink xmlns:r="http://schemas.openxmlformats.org/officeDocument/2006/relationships" ref="L516" r:id="rId1023"/>
    <hyperlink xmlns:r="http://schemas.openxmlformats.org/officeDocument/2006/relationships" ref="M516" r:id="rId1024"/>
    <hyperlink xmlns:r="http://schemas.openxmlformats.org/officeDocument/2006/relationships" ref="L517" r:id="rId1025"/>
    <hyperlink xmlns:r="http://schemas.openxmlformats.org/officeDocument/2006/relationships" ref="M517" r:id="rId1026"/>
    <hyperlink xmlns:r="http://schemas.openxmlformats.org/officeDocument/2006/relationships" ref="L518" r:id="rId1027"/>
    <hyperlink xmlns:r="http://schemas.openxmlformats.org/officeDocument/2006/relationships" ref="M518" r:id="rId1028"/>
    <hyperlink xmlns:r="http://schemas.openxmlformats.org/officeDocument/2006/relationships" ref="L519" r:id="rId1029"/>
    <hyperlink xmlns:r="http://schemas.openxmlformats.org/officeDocument/2006/relationships" ref="M519" r:id="rId1030"/>
    <hyperlink xmlns:r="http://schemas.openxmlformats.org/officeDocument/2006/relationships" ref="L520" r:id="rId1031"/>
    <hyperlink xmlns:r="http://schemas.openxmlformats.org/officeDocument/2006/relationships" ref="M520" r:id="rId1032"/>
    <hyperlink xmlns:r="http://schemas.openxmlformats.org/officeDocument/2006/relationships" ref="L521" r:id="rId1033"/>
    <hyperlink xmlns:r="http://schemas.openxmlformats.org/officeDocument/2006/relationships" ref="M521" r:id="rId1034"/>
    <hyperlink xmlns:r="http://schemas.openxmlformats.org/officeDocument/2006/relationships" ref="L522" r:id="rId1035"/>
    <hyperlink xmlns:r="http://schemas.openxmlformats.org/officeDocument/2006/relationships" ref="M522" r:id="rId1036"/>
    <hyperlink xmlns:r="http://schemas.openxmlformats.org/officeDocument/2006/relationships" ref="L523" r:id="rId1037"/>
    <hyperlink xmlns:r="http://schemas.openxmlformats.org/officeDocument/2006/relationships" ref="M523" r:id="rId1038"/>
    <hyperlink xmlns:r="http://schemas.openxmlformats.org/officeDocument/2006/relationships" ref="L524" r:id="rId1039"/>
    <hyperlink xmlns:r="http://schemas.openxmlformats.org/officeDocument/2006/relationships" ref="M524" r:id="rId1040"/>
    <hyperlink xmlns:r="http://schemas.openxmlformats.org/officeDocument/2006/relationships" ref="L525" r:id="rId1041"/>
    <hyperlink xmlns:r="http://schemas.openxmlformats.org/officeDocument/2006/relationships" ref="M525" r:id="rId1042"/>
    <hyperlink xmlns:r="http://schemas.openxmlformats.org/officeDocument/2006/relationships" ref="L526" r:id="rId1043"/>
    <hyperlink xmlns:r="http://schemas.openxmlformats.org/officeDocument/2006/relationships" ref="M526" r:id="rId1044"/>
  </hyperlinks>
  <pageMargins left="0.75" right="0.75" top="1" bottom="1" header="0.5" footer="0.5"/>
  <tableParts count="1">
    <tablePart xmlns:r="http://schemas.openxmlformats.org/officeDocument/2006/relationships" r:id="rId1045"/>
  </tableParts>
</worksheet>
</file>

<file path=xl/worksheets/sheet3.xml><?xml version="1.0" encoding="utf-8"?>
<worksheet xmlns="http://schemas.openxmlformats.org/spreadsheetml/2006/main">
  <sheetPr>
    <tabColor rgb="009FC9E8"/>
    <outlinePr summaryBelow="1" summaryRight="1"/>
    <pageSetUpPr/>
  </sheetPr>
  <dimension ref="A1:K2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6" customWidth="1" min="2" max="2"/>
    <col width="11" customWidth="1" min="3" max="3"/>
    <col width="26" customWidth="1" min="4" max="4"/>
    <col width="24" customWidth="1" min="5" max="5"/>
    <col width="13" customWidth="1" min="6" max="6"/>
    <col width="10" customWidth="1" min="7" max="7"/>
    <col width="12" customWidth="1" min="8" max="8"/>
    <col width="30" customWidth="1" min="9" max="9"/>
    <col width="11" customWidth="1" min="10" max="10"/>
    <col width="40" customWidth="1" min="11" max="11"/>
  </cols>
  <sheetData>
    <row r="1" ht="30" customHeight="1">
      <c r="A1" s="50" t="inlineStr">
        <is>
          <t>Els 3000 del Pirineu · llista UIAA</t>
        </is>
      </c>
    </row>
    <row r="2" ht="18" customHeight="1">
      <c r="A2" s="2" t="inlineStr">
        <is>
          <t>212 tresmils (129 principals + 83 secundaris, llista Buyse/UIAA) + 3 tresmils catalans fora de la llista · columnes grogues editables · ordenat per zona i altitud</t>
        </is>
      </c>
    </row>
    <row r="4" ht="32" customHeight="1">
      <c r="A4" s="29" t="inlineStr">
        <is>
          <t>Nº UIAA</t>
        </is>
      </c>
      <c r="B4" s="29" t="inlineStr">
        <is>
          <t>Cim</t>
        </is>
      </c>
      <c r="C4" s="29" t="inlineStr">
        <is>
          <t>Altitud (m)</t>
        </is>
      </c>
      <c r="D4" s="29" t="inlineStr">
        <is>
          <t>Zona</t>
        </is>
      </c>
      <c r="E4" s="29" t="inlineStr">
        <is>
          <t>Llista UIAA</t>
        </is>
      </c>
      <c r="F4" s="57" t="inlineStr">
        <is>
          <t>Tresmil català</t>
        </is>
      </c>
      <c r="G4" s="51" t="inlineStr">
        <is>
          <t>Assolit</t>
        </is>
      </c>
      <c r="H4" s="51" t="inlineStr">
        <is>
          <t>Data</t>
        </is>
      </c>
      <c r="I4" s="29" t="inlineStr">
        <is>
          <t>Punt(s) al meu KMZ</t>
        </is>
      </c>
      <c r="J4" s="29" t="inlineStr">
        <is>
          <t>Ascensions</t>
        </is>
      </c>
      <c r="K4" s="29" t="inlineStr">
        <is>
          <t>Dates de les ascensions</t>
        </is>
      </c>
    </row>
    <row r="5">
      <c r="A5" s="33" t="inlineStr">
        <is>
          <t>001</t>
        </is>
      </c>
      <c r="B5" s="32" t="inlineStr">
        <is>
          <t>Balaitus</t>
        </is>
      </c>
      <c r="C5" s="52" t="n">
        <v>3144</v>
      </c>
      <c r="D5" s="53" t="inlineStr">
        <is>
          <t>Z1 · Balaitús-Infiernos</t>
        </is>
      </c>
      <c r="E5" s="33" t="inlineStr">
        <is>
          <t>Principal</t>
        </is>
      </c>
      <c r="F5" s="33" t="inlineStr">
        <is>
          <t>No</t>
        </is>
      </c>
      <c r="G5" s="33"/>
      <c r="H5" s="54"/>
      <c r="I5" s="53"/>
      <c r="J5" s="33"/>
      <c r="K5" s="53"/>
    </row>
    <row r="6">
      <c r="A6" s="33" t="inlineStr">
        <is>
          <t>006</t>
        </is>
      </c>
      <c r="B6" s="32" t="inlineStr">
        <is>
          <t>Infierno Central</t>
        </is>
      </c>
      <c r="C6" s="52" t="n">
        <v>3083</v>
      </c>
      <c r="D6" s="53" t="inlineStr">
        <is>
          <t>Z1 · Balaitús-Infiernos</t>
        </is>
      </c>
      <c r="E6" s="33" t="inlineStr">
        <is>
          <t>Principal</t>
        </is>
      </c>
      <c r="F6" s="33" t="inlineStr">
        <is>
          <t>No</t>
        </is>
      </c>
      <c r="G6" s="33"/>
      <c r="H6" s="54"/>
      <c r="I6" s="53"/>
      <c r="J6" s="33"/>
      <c r="K6" s="53"/>
    </row>
    <row r="7">
      <c r="A7" s="33" t="inlineStr">
        <is>
          <t>007</t>
        </is>
      </c>
      <c r="B7" s="32" t="inlineStr">
        <is>
          <t>Infierno Oriental</t>
        </is>
      </c>
      <c r="C7" s="52" t="n">
        <v>3076</v>
      </c>
      <c r="D7" s="53" t="inlineStr">
        <is>
          <t>Z1 · Balaitús-Infiernos</t>
        </is>
      </c>
      <c r="E7" s="33" t="inlineStr">
        <is>
          <t>Principal</t>
        </is>
      </c>
      <c r="F7" s="33" t="inlineStr">
        <is>
          <t>No</t>
        </is>
      </c>
      <c r="G7" s="33"/>
      <c r="H7" s="54"/>
      <c r="I7" s="53"/>
      <c r="J7" s="33"/>
      <c r="K7" s="53"/>
    </row>
    <row r="8">
      <c r="A8" s="33" t="inlineStr">
        <is>
          <t>005</t>
        </is>
      </c>
      <c r="B8" s="32" t="inlineStr">
        <is>
          <t>Infierno Occidental</t>
        </is>
      </c>
      <c r="C8" s="52" t="n">
        <v>3073</v>
      </c>
      <c r="D8" s="53" t="inlineStr">
        <is>
          <t>Z1 · Balaitús-Infiernos</t>
        </is>
      </c>
      <c r="E8" s="33" t="inlineStr">
        <is>
          <t>Principal</t>
        </is>
      </c>
      <c r="F8" s="33" t="inlineStr">
        <is>
          <t>No</t>
        </is>
      </c>
      <c r="G8" s="33"/>
      <c r="H8" s="54"/>
      <c r="I8" s="53"/>
      <c r="J8" s="33"/>
      <c r="K8" s="53"/>
    </row>
    <row r="9">
      <c r="A9" s="33" t="inlineStr">
        <is>
          <t>002</t>
        </is>
      </c>
      <c r="B9" s="32" t="inlineStr">
        <is>
          <t>Frondella</t>
        </is>
      </c>
      <c r="C9" s="52" t="n">
        <v>3071</v>
      </c>
      <c r="D9" s="53" t="inlineStr">
        <is>
          <t>Z1 · Balaitús-Infiernos</t>
        </is>
      </c>
      <c r="E9" s="33" t="inlineStr">
        <is>
          <t>Principal</t>
        </is>
      </c>
      <c r="F9" s="33" t="inlineStr">
        <is>
          <t>No</t>
        </is>
      </c>
      <c r="G9" s="33"/>
      <c r="H9" s="54"/>
      <c r="I9" s="53"/>
      <c r="J9" s="33"/>
      <c r="K9" s="53"/>
    </row>
    <row r="10">
      <c r="A10" s="33" t="inlineStr">
        <is>
          <t>04</t>
        </is>
      </c>
      <c r="B10" s="32" t="inlineStr">
        <is>
          <t>Frondella N</t>
        </is>
      </c>
      <c r="C10" s="52" t="n">
        <v>3062</v>
      </c>
      <c r="D10" s="53" t="inlineStr">
        <is>
          <t>Z1 · Balaitús-Infiernos</t>
        </is>
      </c>
      <c r="E10" s="33" t="inlineStr">
        <is>
          <t>Secundari</t>
        </is>
      </c>
      <c r="F10" s="33" t="inlineStr">
        <is>
          <t>No</t>
        </is>
      </c>
      <c r="G10" s="33"/>
      <c r="H10" s="54"/>
      <c r="I10" s="53"/>
      <c r="J10" s="33"/>
      <c r="K10" s="53"/>
    </row>
    <row r="11">
      <c r="A11" s="33" t="inlineStr">
        <is>
          <t>05</t>
        </is>
      </c>
      <c r="B11" s="32" t="inlineStr">
        <is>
          <t>Frondella Central</t>
        </is>
      </c>
      <c r="C11" s="52" t="n">
        <v>3055</v>
      </c>
      <c r="D11" s="53" t="inlineStr">
        <is>
          <t>Z1 · Balaitús-Infiernos</t>
        </is>
      </c>
      <c r="E11" s="33" t="inlineStr">
        <is>
          <t>Secundari</t>
        </is>
      </c>
      <c r="F11" s="33" t="inlineStr">
        <is>
          <t>No</t>
        </is>
      </c>
      <c r="G11" s="33"/>
      <c r="H11" s="54"/>
      <c r="I11" s="53"/>
      <c r="J11" s="33"/>
      <c r="K11" s="53"/>
    </row>
    <row r="12">
      <c r="A12" s="33" t="inlineStr">
        <is>
          <t>009</t>
        </is>
      </c>
      <c r="B12" s="32" t="inlineStr">
        <is>
          <t>Garmo Negro</t>
        </is>
      </c>
      <c r="C12" s="52" t="n">
        <v>3051</v>
      </c>
      <c r="D12" s="53" t="inlineStr">
        <is>
          <t>Z1 · Balaitús-Infiernos</t>
        </is>
      </c>
      <c r="E12" s="33" t="inlineStr">
        <is>
          <t>Principal</t>
        </is>
      </c>
      <c r="F12" s="33" t="inlineStr">
        <is>
          <t>No</t>
        </is>
      </c>
      <c r="G12" s="33"/>
      <c r="H12" s="54"/>
      <c r="I12" s="53"/>
      <c r="J12" s="33"/>
      <c r="K12" s="53"/>
    </row>
    <row r="13">
      <c r="A13" s="33" t="inlineStr">
        <is>
          <t>01</t>
        </is>
      </c>
      <c r="B13" s="32" t="inlineStr">
        <is>
          <t>Torre Costerillou</t>
        </is>
      </c>
      <c r="C13" s="52" t="n">
        <v>3049</v>
      </c>
      <c r="D13" s="53" t="inlineStr">
        <is>
          <t>Z1 · Balaitús-Infiernos</t>
        </is>
      </c>
      <c r="E13" s="33" t="inlineStr">
        <is>
          <t>Secundari</t>
        </is>
      </c>
      <c r="F13" s="33" t="inlineStr">
        <is>
          <t>No</t>
        </is>
      </c>
      <c r="G13" s="33"/>
      <c r="H13" s="54"/>
      <c r="I13" s="53"/>
      <c r="J13" s="33"/>
      <c r="K13" s="53"/>
    </row>
    <row r="14">
      <c r="A14" s="33" t="inlineStr">
        <is>
          <t>011</t>
        </is>
      </c>
      <c r="B14" s="32" t="inlineStr">
        <is>
          <t>Argualas</t>
        </is>
      </c>
      <c r="C14" s="52" t="n">
        <v>3046</v>
      </c>
      <c r="D14" s="53" t="inlineStr">
        <is>
          <t>Z1 · Balaitús-Infiernos</t>
        </is>
      </c>
      <c r="E14" s="33" t="inlineStr">
        <is>
          <t>Principal</t>
        </is>
      </c>
      <c r="F14" s="33" t="inlineStr">
        <is>
          <t>No</t>
        </is>
      </c>
      <c r="G14" s="33"/>
      <c r="H14" s="54"/>
      <c r="I14" s="53"/>
      <c r="J14" s="33"/>
      <c r="K14" s="53"/>
    </row>
    <row r="15">
      <c r="A15" s="33" t="inlineStr">
        <is>
          <t>010</t>
        </is>
      </c>
      <c r="B15" s="32" t="inlineStr">
        <is>
          <t>Algas</t>
        </is>
      </c>
      <c r="C15" s="52" t="n">
        <v>3036</v>
      </c>
      <c r="D15" s="53" t="inlineStr">
        <is>
          <t>Z1 · Balaitús-Infiernos</t>
        </is>
      </c>
      <c r="E15" s="33" t="inlineStr">
        <is>
          <t>Principal</t>
        </is>
      </c>
      <c r="F15" s="33" t="inlineStr">
        <is>
          <t>No</t>
        </is>
      </c>
      <c r="G15" s="33"/>
      <c r="H15" s="54"/>
      <c r="I15" s="53"/>
      <c r="J15" s="33"/>
      <c r="K15" s="53"/>
    </row>
    <row r="16">
      <c r="A16" s="33" t="inlineStr">
        <is>
          <t>07</t>
        </is>
      </c>
      <c r="B16" s="32" t="inlineStr">
        <is>
          <t>Algas N</t>
        </is>
      </c>
      <c r="C16" s="52" t="n">
        <v>3032</v>
      </c>
      <c r="D16" s="53" t="inlineStr">
        <is>
          <t>Z1 · Balaitús-Infiernos</t>
        </is>
      </c>
      <c r="E16" s="33" t="inlineStr">
        <is>
          <t>Secundari</t>
        </is>
      </c>
      <c r="F16" s="33" t="inlineStr">
        <is>
          <t>No</t>
        </is>
      </c>
      <c r="G16" s="33"/>
      <c r="H16" s="54"/>
      <c r="I16" s="53"/>
      <c r="J16" s="33"/>
      <c r="K16" s="53"/>
    </row>
    <row r="17">
      <c r="A17" s="33" t="inlineStr">
        <is>
          <t>02</t>
        </is>
      </c>
      <c r="B17" s="32" t="inlineStr">
        <is>
          <t>Aguja d'Ussel</t>
        </is>
      </c>
      <c r="C17" s="52" t="n">
        <v>3022</v>
      </c>
      <c r="D17" s="53" t="inlineStr">
        <is>
          <t>Z1 · Balaitús-Infiernos</t>
        </is>
      </c>
      <c r="E17" s="33" t="inlineStr">
        <is>
          <t>Secundari</t>
        </is>
      </c>
      <c r="F17" s="33" t="inlineStr">
        <is>
          <t>No</t>
        </is>
      </c>
      <c r="G17" s="33"/>
      <c r="H17" s="54"/>
      <c r="I17" s="53"/>
      <c r="J17" s="33"/>
      <c r="K17" s="53"/>
    </row>
    <row r="18">
      <c r="A18" s="33" t="inlineStr">
        <is>
          <t>03</t>
        </is>
      </c>
      <c r="B18" s="32" t="inlineStr">
        <is>
          <t>Aguja Cadier</t>
        </is>
      </c>
      <c r="C18" s="52" t="n">
        <v>3022</v>
      </c>
      <c r="D18" s="53" t="inlineStr">
        <is>
          <t>Z1 · Balaitús-Infiernos</t>
        </is>
      </c>
      <c r="E18" s="33" t="inlineStr">
        <is>
          <t>Secundari</t>
        </is>
      </c>
      <c r="F18" s="33" t="inlineStr">
        <is>
          <t>No</t>
        </is>
      </c>
      <c r="G18" s="33"/>
      <c r="H18" s="54"/>
      <c r="I18" s="53"/>
      <c r="J18" s="33"/>
      <c r="K18" s="53"/>
    </row>
    <row r="19">
      <c r="A19" s="33" t="inlineStr">
        <is>
          <t>06</t>
        </is>
      </c>
      <c r="B19" s="32" t="inlineStr">
        <is>
          <t>Aguja Pondiellos</t>
        </is>
      </c>
      <c r="C19" s="52" t="n">
        <v>3011</v>
      </c>
      <c r="D19" s="53" t="inlineStr">
        <is>
          <t>Z1 · Balaitús-Infiernos</t>
        </is>
      </c>
      <c r="E19" s="33" t="inlineStr">
        <is>
          <t>Secundari</t>
        </is>
      </c>
      <c r="F19" s="33" t="inlineStr">
        <is>
          <t>No</t>
        </is>
      </c>
      <c r="G19" s="33"/>
      <c r="H19" s="54"/>
      <c r="I19" s="53"/>
      <c r="J19" s="33"/>
      <c r="K19" s="53"/>
    </row>
    <row r="20">
      <c r="A20" s="33" t="inlineStr">
        <is>
          <t>008</t>
        </is>
      </c>
      <c r="B20" s="32" t="inlineStr">
        <is>
          <t>Arnales</t>
        </is>
      </c>
      <c r="C20" s="52" t="n">
        <v>3006</v>
      </c>
      <c r="D20" s="53" t="inlineStr">
        <is>
          <t>Z1 · Balaitús-Infiernos</t>
        </is>
      </c>
      <c r="E20" s="33" t="inlineStr">
        <is>
          <t>Principal</t>
        </is>
      </c>
      <c r="F20" s="33" t="inlineStr">
        <is>
          <t>No</t>
        </is>
      </c>
      <c r="G20" s="33"/>
      <c r="H20" s="54"/>
      <c r="I20" s="53"/>
      <c r="J20" s="33"/>
      <c r="K20" s="53"/>
    </row>
    <row r="21">
      <c r="A21" s="33" t="inlineStr">
        <is>
          <t>004</t>
        </is>
      </c>
      <c r="B21" s="32" t="inlineStr">
        <is>
          <t>Grande Fache</t>
        </is>
      </c>
      <c r="C21" s="52" t="n">
        <v>3005</v>
      </c>
      <c r="D21" s="53" t="inlineStr">
        <is>
          <t>Z1 · Balaitús-Infiernos</t>
        </is>
      </c>
      <c r="E21" s="33" t="inlineStr">
        <is>
          <t>Principal</t>
        </is>
      </c>
      <c r="F21" s="33" t="inlineStr">
        <is>
          <t>No</t>
        </is>
      </c>
      <c r="G21" s="33"/>
      <c r="H21" s="54"/>
      <c r="I21" s="53"/>
      <c r="J21" s="33"/>
      <c r="K21" s="53"/>
    </row>
    <row r="22">
      <c r="A22" s="33" t="inlineStr">
        <is>
          <t>003</t>
        </is>
      </c>
      <c r="B22" s="32" t="inlineStr">
        <is>
          <t>Frondella SW</t>
        </is>
      </c>
      <c r="C22" s="52" t="n">
        <v>3001</v>
      </c>
      <c r="D22" s="53" t="inlineStr">
        <is>
          <t>Z1 · Balaitús-Infiernos</t>
        </is>
      </c>
      <c r="E22" s="33" t="inlineStr">
        <is>
          <t>Principal</t>
        </is>
      </c>
      <c r="F22" s="33" t="inlineStr">
        <is>
          <t>No</t>
        </is>
      </c>
      <c r="G22" s="33"/>
      <c r="H22" s="54"/>
      <c r="I22" s="53"/>
      <c r="J22" s="33"/>
      <c r="K22" s="53"/>
    </row>
    <row r="23">
      <c r="A23" s="33" t="inlineStr">
        <is>
          <t>012</t>
        </is>
      </c>
      <c r="B23" s="32" t="inlineStr">
        <is>
          <t>Vignemale (Pique Longue)</t>
        </is>
      </c>
      <c r="C23" s="52" t="n">
        <v>3298</v>
      </c>
      <c r="D23" s="53" t="inlineStr">
        <is>
          <t>Z2 · Vignemale</t>
        </is>
      </c>
      <c r="E23" s="33" t="inlineStr">
        <is>
          <t>Principal</t>
        </is>
      </c>
      <c r="F23" s="33" t="inlineStr">
        <is>
          <t>No</t>
        </is>
      </c>
      <c r="G23" s="33"/>
      <c r="H23" s="54"/>
      <c r="I23" s="53"/>
      <c r="J23" s="33"/>
      <c r="K23" s="53"/>
    </row>
    <row r="24">
      <c r="A24" s="33" t="inlineStr">
        <is>
          <t>013</t>
        </is>
      </c>
      <c r="B24" s="32" t="inlineStr">
        <is>
          <t>Clot de la Hount</t>
        </is>
      </c>
      <c r="C24" s="52" t="n">
        <v>3289</v>
      </c>
      <c r="D24" s="53" t="inlineStr">
        <is>
          <t>Z2 · Vignemale</t>
        </is>
      </c>
      <c r="E24" s="33" t="inlineStr">
        <is>
          <t>Principal</t>
        </is>
      </c>
      <c r="F24" s="33" t="inlineStr">
        <is>
          <t>No</t>
        </is>
      </c>
      <c r="G24" s="33"/>
      <c r="H24" s="54"/>
      <c r="I24" s="53"/>
      <c r="J24" s="33"/>
      <c r="K24" s="53"/>
    </row>
    <row r="25">
      <c r="A25" s="33" t="inlineStr">
        <is>
          <t>014</t>
        </is>
      </c>
      <c r="B25" s="32" t="inlineStr">
        <is>
          <t>Cerbillona</t>
        </is>
      </c>
      <c r="C25" s="52" t="n">
        <v>3247</v>
      </c>
      <c r="D25" s="53" t="inlineStr">
        <is>
          <t>Z2 · Vignemale</t>
        </is>
      </c>
      <c r="E25" s="33" t="inlineStr">
        <is>
          <t>Principal</t>
        </is>
      </c>
      <c r="F25" s="33" t="inlineStr">
        <is>
          <t>No</t>
        </is>
      </c>
      <c r="G25" s="33"/>
      <c r="H25" s="54"/>
      <c r="I25" s="53"/>
      <c r="J25" s="33"/>
      <c r="K25" s="53"/>
    </row>
    <row r="26">
      <c r="A26" s="33" t="inlineStr">
        <is>
          <t>015</t>
        </is>
      </c>
      <c r="B26" s="32" t="inlineStr">
        <is>
          <t>Pico Central</t>
        </is>
      </c>
      <c r="C26" s="52" t="n">
        <v>3235</v>
      </c>
      <c r="D26" s="53" t="inlineStr">
        <is>
          <t>Z2 · Vignemale</t>
        </is>
      </c>
      <c r="E26" s="33" t="inlineStr">
        <is>
          <t>Principal</t>
        </is>
      </c>
      <c r="F26" s="33" t="inlineStr">
        <is>
          <t>No</t>
        </is>
      </c>
      <c r="G26" s="33"/>
      <c r="H26" s="54"/>
      <c r="I26" s="53"/>
      <c r="J26" s="33"/>
      <c r="K26" s="53"/>
    </row>
    <row r="27">
      <c r="A27" s="33" t="inlineStr">
        <is>
          <t>016</t>
        </is>
      </c>
      <c r="B27" s="32" t="inlineStr">
        <is>
          <t>Montferrat</t>
        </is>
      </c>
      <c r="C27" s="52" t="n">
        <v>3219</v>
      </c>
      <c r="D27" s="53" t="inlineStr">
        <is>
          <t>Z2 · Vignemale</t>
        </is>
      </c>
      <c r="E27" s="33" t="inlineStr">
        <is>
          <t>Principal</t>
        </is>
      </c>
      <c r="F27" s="33" t="inlineStr">
        <is>
          <t>No</t>
        </is>
      </c>
      <c r="G27" s="33"/>
      <c r="H27" s="54"/>
      <c r="I27" s="53"/>
      <c r="J27" s="33"/>
      <c r="K27" s="53"/>
    </row>
    <row r="28">
      <c r="A28" s="33" t="inlineStr">
        <is>
          <t>020</t>
        </is>
      </c>
      <c r="B28" s="32" t="inlineStr">
        <is>
          <t>Punta Chausenque</t>
        </is>
      </c>
      <c r="C28" s="52" t="n">
        <v>3204</v>
      </c>
      <c r="D28" s="53" t="inlineStr">
        <is>
          <t>Z2 · Vignemale</t>
        </is>
      </c>
      <c r="E28" s="33" t="inlineStr">
        <is>
          <t>Principal</t>
        </is>
      </c>
      <c r="F28" s="33" t="inlineStr">
        <is>
          <t>No</t>
        </is>
      </c>
      <c r="G28" s="33"/>
      <c r="H28" s="54"/>
      <c r="I28" s="53"/>
      <c r="J28" s="33"/>
      <c r="K28" s="53"/>
    </row>
    <row r="29">
      <c r="A29" s="33" t="inlineStr">
        <is>
          <t>019</t>
        </is>
      </c>
      <c r="B29" s="32" t="inlineStr">
        <is>
          <t>Pitón Carré</t>
        </is>
      </c>
      <c r="C29" s="52" t="n">
        <v>3197</v>
      </c>
      <c r="D29" s="53" t="inlineStr">
        <is>
          <t>Z2 · Vignemale</t>
        </is>
      </c>
      <c r="E29" s="33" t="inlineStr">
        <is>
          <t>Principal</t>
        </is>
      </c>
      <c r="F29" s="33" t="inlineStr">
        <is>
          <t>No</t>
        </is>
      </c>
      <c r="G29" s="33"/>
      <c r="H29" s="54"/>
      <c r="I29" s="53"/>
      <c r="J29" s="33"/>
      <c r="K29" s="53"/>
    </row>
    <row r="30">
      <c r="A30" s="33" t="inlineStr">
        <is>
          <t>13</t>
        </is>
      </c>
      <c r="B30" s="32" t="inlineStr">
        <is>
          <t>Espalda Chausenque</t>
        </is>
      </c>
      <c r="C30" s="52" t="n">
        <v>3154</v>
      </c>
      <c r="D30" s="53" t="inlineStr">
        <is>
          <t>Z2 · Vignemale</t>
        </is>
      </c>
      <c r="E30" s="33" t="inlineStr">
        <is>
          <t>Secundari</t>
        </is>
      </c>
      <c r="F30" s="33" t="inlineStr">
        <is>
          <t>No</t>
        </is>
      </c>
      <c r="G30" s="33"/>
      <c r="H30" s="54"/>
      <c r="I30" s="53"/>
      <c r="J30" s="33"/>
      <c r="K30" s="53"/>
    </row>
    <row r="31">
      <c r="A31" s="33" t="inlineStr">
        <is>
          <t>017</t>
        </is>
      </c>
      <c r="B31" s="32" t="inlineStr">
        <is>
          <t>Grand Tapou</t>
        </is>
      </c>
      <c r="C31" s="52" t="n">
        <v>3150</v>
      </c>
      <c r="D31" s="53" t="inlineStr">
        <is>
          <t>Z2 · Vignemale</t>
        </is>
      </c>
      <c r="E31" s="33" t="inlineStr">
        <is>
          <t>Principal</t>
        </is>
      </c>
      <c r="F31" s="33" t="inlineStr">
        <is>
          <t>No</t>
        </is>
      </c>
      <c r="G31" s="33"/>
      <c r="H31" s="54"/>
      <c r="I31" s="53"/>
      <c r="J31" s="33"/>
      <c r="K31" s="53"/>
    </row>
    <row r="32">
      <c r="A32" s="33" t="inlineStr">
        <is>
          <t>11</t>
        </is>
      </c>
      <c r="B32" s="32" t="inlineStr">
        <is>
          <t>Punta Superior del Tapou</t>
        </is>
      </c>
      <c r="C32" s="52" t="n">
        <v>3132</v>
      </c>
      <c r="D32" s="53" t="inlineStr">
        <is>
          <t>Z2 · Vignemale</t>
        </is>
      </c>
      <c r="E32" s="33" t="inlineStr">
        <is>
          <t>Secundari</t>
        </is>
      </c>
      <c r="F32" s="33" t="inlineStr">
        <is>
          <t>No</t>
        </is>
      </c>
      <c r="G32" s="33"/>
      <c r="H32" s="54"/>
      <c r="I32" s="53"/>
      <c r="J32" s="33"/>
      <c r="K32" s="53"/>
    </row>
    <row r="33">
      <c r="A33" s="33" t="inlineStr">
        <is>
          <t>018</t>
        </is>
      </c>
      <c r="B33" s="32" t="inlineStr">
        <is>
          <t>Pic du Milieu</t>
        </is>
      </c>
      <c r="C33" s="52" t="n">
        <v>3130</v>
      </c>
      <c r="D33" s="53" t="inlineStr">
        <is>
          <t>Z2 · Vignemale</t>
        </is>
      </c>
      <c r="E33" s="33" t="inlineStr">
        <is>
          <t>Principal</t>
        </is>
      </c>
      <c r="F33" s="33" t="inlineStr">
        <is>
          <t>No</t>
        </is>
      </c>
      <c r="G33" s="33"/>
      <c r="H33" s="54"/>
      <c r="I33" s="53"/>
      <c r="J33" s="33"/>
      <c r="K33" s="53"/>
    </row>
    <row r="34">
      <c r="A34" s="33" t="inlineStr">
        <is>
          <t>12</t>
        </is>
      </c>
      <c r="B34" s="32" t="inlineStr">
        <is>
          <t>Punta Inferior del Tapou</t>
        </is>
      </c>
      <c r="C34" s="52" t="n">
        <v>3124</v>
      </c>
      <c r="D34" s="53" t="inlineStr">
        <is>
          <t>Z2 · Vignemale</t>
        </is>
      </c>
      <c r="E34" s="33" t="inlineStr">
        <is>
          <t>Secundari</t>
        </is>
      </c>
      <c r="F34" s="33" t="inlineStr">
        <is>
          <t>No</t>
        </is>
      </c>
      <c r="G34" s="33"/>
      <c r="H34" s="54"/>
      <c r="I34" s="53"/>
      <c r="J34" s="33"/>
      <c r="K34" s="53"/>
    </row>
    <row r="35">
      <c r="A35" s="33" t="inlineStr">
        <is>
          <t>09</t>
        </is>
      </c>
      <c r="B35" s="32" t="inlineStr">
        <is>
          <t>Aguja Sup. del Clot de la Hount</t>
        </is>
      </c>
      <c r="C35" s="52" t="n">
        <v>3115</v>
      </c>
      <c r="D35" s="53" t="inlineStr">
        <is>
          <t>Z2 · Vignemale</t>
        </is>
      </c>
      <c r="E35" s="33" t="inlineStr">
        <is>
          <t>Secundari</t>
        </is>
      </c>
      <c r="F35" s="33" t="inlineStr">
        <is>
          <t>No</t>
        </is>
      </c>
      <c r="G35" s="33"/>
      <c r="H35" s="54"/>
      <c r="I35" s="53"/>
      <c r="J35" s="33"/>
      <c r="K35" s="53"/>
    </row>
    <row r="36">
      <c r="A36" s="33" t="inlineStr">
        <is>
          <t>10</t>
        </is>
      </c>
      <c r="B36" s="32" t="inlineStr">
        <is>
          <t>Aguja SW de Cerbillona</t>
        </is>
      </c>
      <c r="C36" s="52" t="n">
        <v>3051</v>
      </c>
      <c r="D36" s="53" t="inlineStr">
        <is>
          <t>Z2 · Vignemale</t>
        </is>
      </c>
      <c r="E36" s="33" t="inlineStr">
        <is>
          <t>Secundari</t>
        </is>
      </c>
      <c r="F36" s="33" t="inlineStr">
        <is>
          <t>No</t>
        </is>
      </c>
      <c r="G36" s="33"/>
      <c r="H36" s="54"/>
      <c r="I36" s="53"/>
      <c r="J36" s="33"/>
      <c r="K36" s="53"/>
    </row>
    <row r="37">
      <c r="A37" s="33" t="inlineStr">
        <is>
          <t>08</t>
        </is>
      </c>
      <c r="B37" s="32" t="inlineStr">
        <is>
          <t>Aguja Inf. del Clot de la Hount</t>
        </is>
      </c>
      <c r="C37" s="52" t="n">
        <v>3043</v>
      </c>
      <c r="D37" s="53" t="inlineStr">
        <is>
          <t>Z2 · Vignemale</t>
        </is>
      </c>
      <c r="E37" s="33" t="inlineStr">
        <is>
          <t>Secundari</t>
        </is>
      </c>
      <c r="F37" s="33" t="inlineStr">
        <is>
          <t>No</t>
        </is>
      </c>
      <c r="G37" s="33"/>
      <c r="H37" s="54"/>
      <c r="I37" s="53"/>
      <c r="J37" s="33"/>
      <c r="K37" s="53"/>
    </row>
    <row r="38">
      <c r="A38" s="33" t="inlineStr">
        <is>
          <t>021</t>
        </is>
      </c>
      <c r="B38" s="32" t="inlineStr">
        <is>
          <t>Pequeño Vignemale</t>
        </is>
      </c>
      <c r="C38" s="52" t="n">
        <v>3032</v>
      </c>
      <c r="D38" s="53" t="inlineStr">
        <is>
          <t>Z2 · Vignemale</t>
        </is>
      </c>
      <c r="E38" s="33" t="inlineStr">
        <is>
          <t>Principal</t>
        </is>
      </c>
      <c r="F38" s="33" t="inlineStr">
        <is>
          <t>No</t>
        </is>
      </c>
      <c r="G38" s="33"/>
      <c r="H38" s="54"/>
      <c r="I38" s="53"/>
      <c r="J38" s="33"/>
      <c r="K38" s="53"/>
    </row>
    <row r="39">
      <c r="A39" s="33" t="inlineStr">
        <is>
          <t>035</t>
        </is>
      </c>
      <c r="B39" s="32" t="inlineStr">
        <is>
          <t>Monte Perdido</t>
        </is>
      </c>
      <c r="C39" s="52" t="n">
        <v>3355</v>
      </c>
      <c r="D39" s="53" t="inlineStr">
        <is>
          <t>Z3 · Monte Perdido</t>
        </is>
      </c>
      <c r="E39" s="33" t="inlineStr">
        <is>
          <t>Principal</t>
        </is>
      </c>
      <c r="F39" s="33" t="inlineStr">
        <is>
          <t>No</t>
        </is>
      </c>
      <c r="G39" s="33"/>
      <c r="H39" s="54"/>
      <c r="I39" s="53"/>
      <c r="J39" s="33"/>
      <c r="K39" s="53"/>
    </row>
    <row r="40">
      <c r="A40" s="33" t="inlineStr">
        <is>
          <t>034</t>
        </is>
      </c>
      <c r="B40" s="32" t="inlineStr">
        <is>
          <t>Cilindro de Marboré</t>
        </is>
      </c>
      <c r="C40" s="52" t="n">
        <v>3328</v>
      </c>
      <c r="D40" s="53" t="inlineStr">
        <is>
          <t>Z3 · Monte Perdido</t>
        </is>
      </c>
      <c r="E40" s="33" t="inlineStr">
        <is>
          <t>Principal</t>
        </is>
      </c>
      <c r="F40" s="33" t="inlineStr">
        <is>
          <t>No</t>
        </is>
      </c>
      <c r="G40" s="33"/>
      <c r="H40" s="54"/>
      <c r="I40" s="53"/>
      <c r="J40" s="33"/>
      <c r="K40" s="53"/>
    </row>
    <row r="41">
      <c r="A41" s="33" t="inlineStr">
        <is>
          <t>036</t>
        </is>
      </c>
      <c r="B41" s="32" t="inlineStr">
        <is>
          <t>Soum de Ramond (Añisclo)</t>
        </is>
      </c>
      <c r="C41" s="52" t="n">
        <v>3254</v>
      </c>
      <c r="D41" s="53" t="inlineStr">
        <is>
          <t>Z3 · Monte Perdido</t>
        </is>
      </c>
      <c r="E41" s="33" t="inlineStr">
        <is>
          <t>Principal</t>
        </is>
      </c>
      <c r="F41" s="33" t="inlineStr">
        <is>
          <t>No</t>
        </is>
      </c>
      <c r="G41" s="33"/>
      <c r="H41" s="54"/>
      <c r="I41" s="53"/>
      <c r="J41" s="33"/>
      <c r="K41" s="53"/>
    </row>
    <row r="42">
      <c r="A42" s="33" t="inlineStr">
        <is>
          <t>031</t>
        </is>
      </c>
      <c r="B42" s="32" t="inlineStr">
        <is>
          <t>Marboré</t>
        </is>
      </c>
      <c r="C42" s="52" t="n">
        <v>3248</v>
      </c>
      <c r="D42" s="53" t="inlineStr">
        <is>
          <t>Z3 · Monte Perdido</t>
        </is>
      </c>
      <c r="E42" s="33" t="inlineStr">
        <is>
          <t>Principal</t>
        </is>
      </c>
      <c r="F42" s="33" t="inlineStr">
        <is>
          <t>No</t>
        </is>
      </c>
      <c r="G42" s="33"/>
      <c r="H42" s="54"/>
      <c r="I42" s="53"/>
      <c r="J42" s="33"/>
      <c r="K42" s="53"/>
    </row>
    <row r="43">
      <c r="A43" s="33" t="inlineStr">
        <is>
          <t>14</t>
        </is>
      </c>
      <c r="B43" s="32" t="inlineStr">
        <is>
          <t>Pitón SW del Cilindro</t>
        </is>
      </c>
      <c r="C43" s="52" t="n">
        <v>3194</v>
      </c>
      <c r="D43" s="53" t="inlineStr">
        <is>
          <t>Z3 · Monte Perdido</t>
        </is>
      </c>
      <c r="E43" s="33" t="inlineStr">
        <is>
          <t>Secundari</t>
        </is>
      </c>
      <c r="F43" s="33" t="inlineStr">
        <is>
          <t>No</t>
        </is>
      </c>
      <c r="G43" s="33"/>
      <c r="H43" s="54"/>
      <c r="I43" s="53"/>
      <c r="J43" s="33"/>
      <c r="K43" s="53"/>
    </row>
    <row r="44">
      <c r="A44" s="33" t="inlineStr">
        <is>
          <t>15</t>
        </is>
      </c>
      <c r="B44" s="32" t="inlineStr">
        <is>
          <t>Dedo del Monte Perdido</t>
        </is>
      </c>
      <c r="C44" s="52" t="n">
        <v>3188</v>
      </c>
      <c r="D44" s="53" t="inlineStr">
        <is>
          <t>Z3 · Monte Perdido</t>
        </is>
      </c>
      <c r="E44" s="33" t="inlineStr">
        <is>
          <t>Secundari</t>
        </is>
      </c>
      <c r="F44" s="33" t="inlineStr">
        <is>
          <t>No</t>
        </is>
      </c>
      <c r="G44" s="33"/>
      <c r="H44" s="54"/>
      <c r="I44" s="53"/>
      <c r="J44" s="33"/>
      <c r="K44" s="53"/>
    </row>
    <row r="45">
      <c r="A45" s="33" t="inlineStr">
        <is>
          <t>030</t>
        </is>
      </c>
      <c r="B45" s="32" t="inlineStr">
        <is>
          <t>Pico Cascada Oriental</t>
        </is>
      </c>
      <c r="C45" s="52" t="n">
        <v>3161</v>
      </c>
      <c r="D45" s="53" t="inlineStr">
        <is>
          <t>Z3 · Monte Perdido</t>
        </is>
      </c>
      <c r="E45" s="33" t="inlineStr">
        <is>
          <t>Principal</t>
        </is>
      </c>
      <c r="F45" s="33" t="inlineStr">
        <is>
          <t>No</t>
        </is>
      </c>
      <c r="G45" s="33"/>
      <c r="H45" s="54"/>
      <c r="I45" s="53"/>
      <c r="J45" s="33"/>
      <c r="K45" s="53"/>
    </row>
    <row r="46">
      <c r="A46" s="33" t="inlineStr">
        <is>
          <t>024</t>
        </is>
      </c>
      <c r="B46" s="32" t="inlineStr">
        <is>
          <t>Taillón</t>
        </is>
      </c>
      <c r="C46" s="52" t="n">
        <v>3144</v>
      </c>
      <c r="D46" s="53" t="inlineStr">
        <is>
          <t>Z3 · Monte Perdido</t>
        </is>
      </c>
      <c r="E46" s="33" t="inlineStr">
        <is>
          <t>Principal</t>
        </is>
      </c>
      <c r="F46" s="33" t="inlineStr">
        <is>
          <t>No</t>
        </is>
      </c>
      <c r="G46" s="33"/>
      <c r="H46" s="54"/>
      <c r="I46" s="53"/>
      <c r="J46" s="33"/>
      <c r="K46" s="53"/>
    </row>
    <row r="47">
      <c r="A47" s="33" t="inlineStr">
        <is>
          <t>029</t>
        </is>
      </c>
      <c r="B47" s="32" t="inlineStr">
        <is>
          <t>Pic Brulle (Cascada Central)</t>
        </is>
      </c>
      <c r="C47" s="52" t="n">
        <v>3106</v>
      </c>
      <c r="D47" s="53" t="inlineStr">
        <is>
          <t>Z3 · Monte Perdido</t>
        </is>
      </c>
      <c r="E47" s="33" t="inlineStr">
        <is>
          <t>Principal</t>
        </is>
      </c>
      <c r="F47" s="33" t="inlineStr">
        <is>
          <t>No</t>
        </is>
      </c>
      <c r="G47" s="33"/>
      <c r="H47" s="54"/>
      <c r="I47" s="53"/>
      <c r="J47" s="33"/>
      <c r="K47" s="53"/>
    </row>
    <row r="48">
      <c r="A48" s="33" t="inlineStr">
        <is>
          <t>028</t>
        </is>
      </c>
      <c r="B48" s="32" t="inlineStr">
        <is>
          <t>Pico Cascada Occidental</t>
        </is>
      </c>
      <c r="C48" s="52" t="n">
        <v>3095</v>
      </c>
      <c r="D48" s="53" t="inlineStr">
        <is>
          <t>Z3 · Monte Perdido</t>
        </is>
      </c>
      <c r="E48" s="33" t="inlineStr">
        <is>
          <t>Principal</t>
        </is>
      </c>
      <c r="F48" s="33" t="inlineStr">
        <is>
          <t>No</t>
        </is>
      </c>
      <c r="G48" s="33"/>
      <c r="H48" s="54"/>
      <c r="I48" s="53"/>
      <c r="J48" s="33"/>
      <c r="K48" s="53"/>
    </row>
    <row r="49">
      <c r="A49" s="33" t="inlineStr">
        <is>
          <t>17</t>
        </is>
      </c>
      <c r="B49" s="32" t="inlineStr">
        <is>
          <t>Espalda Esparets</t>
        </is>
      </c>
      <c r="C49" s="52" t="n">
        <v>3077</v>
      </c>
      <c r="D49" s="53" t="inlineStr">
        <is>
          <t>Z3 · Monte Perdido</t>
        </is>
      </c>
      <c r="E49" s="33" t="inlineStr">
        <is>
          <t>Secundari</t>
        </is>
      </c>
      <c r="F49" s="33" t="inlineStr">
        <is>
          <t>No</t>
        </is>
      </c>
      <c r="G49" s="33"/>
      <c r="H49" s="54"/>
      <c r="I49" s="53"/>
      <c r="J49" s="33"/>
      <c r="K49" s="53"/>
    </row>
    <row r="50">
      <c r="A50" s="33" t="inlineStr">
        <is>
          <t>027</t>
        </is>
      </c>
      <c r="B50" s="32" t="inlineStr">
        <is>
          <t>Espalda de Marboré</t>
        </is>
      </c>
      <c r="C50" s="52" t="n">
        <v>3073</v>
      </c>
      <c r="D50" s="53" t="inlineStr">
        <is>
          <t>Z3 · Monte Perdido</t>
        </is>
      </c>
      <c r="E50" s="33" t="inlineStr">
        <is>
          <t>Principal</t>
        </is>
      </c>
      <c r="F50" s="33" t="inlineStr">
        <is>
          <t>No</t>
        </is>
      </c>
      <c r="G50" s="33"/>
      <c r="H50" s="54"/>
      <c r="I50" s="53"/>
      <c r="J50" s="33"/>
      <c r="K50" s="53"/>
    </row>
    <row r="51">
      <c r="A51" s="33" t="inlineStr">
        <is>
          <t>033</t>
        </is>
      </c>
      <c r="B51" s="32" t="inlineStr">
        <is>
          <t>Astazu Oriental</t>
        </is>
      </c>
      <c r="C51" s="52" t="n">
        <v>3071</v>
      </c>
      <c r="D51" s="53" t="inlineStr">
        <is>
          <t>Z3 · Monte Perdido</t>
        </is>
      </c>
      <c r="E51" s="33" t="inlineStr">
        <is>
          <t>Principal</t>
        </is>
      </c>
      <c r="F51" s="33" t="inlineStr">
        <is>
          <t>No</t>
        </is>
      </c>
      <c r="G51" s="33"/>
      <c r="H51" s="54"/>
      <c r="I51" s="53"/>
      <c r="J51" s="33"/>
      <c r="K51" s="53"/>
    </row>
    <row r="52">
      <c r="A52" s="33" t="inlineStr">
        <is>
          <t>037</t>
        </is>
      </c>
      <c r="B52" s="32" t="inlineStr">
        <is>
          <t>Baudrimont NW</t>
        </is>
      </c>
      <c r="C52" s="52" t="n">
        <v>3045</v>
      </c>
      <c r="D52" s="53" t="inlineStr">
        <is>
          <t>Z3 · Monte Perdido</t>
        </is>
      </c>
      <c r="E52" s="33" t="inlineStr">
        <is>
          <t>Principal</t>
        </is>
      </c>
      <c r="F52" s="33" t="inlineStr">
        <is>
          <t>No</t>
        </is>
      </c>
      <c r="G52" s="33"/>
      <c r="H52" s="54"/>
      <c r="I52" s="53"/>
      <c r="J52" s="33"/>
      <c r="K52" s="53"/>
    </row>
    <row r="53">
      <c r="A53" s="33" t="inlineStr">
        <is>
          <t>022</t>
        </is>
      </c>
      <c r="B53" s="32" t="inlineStr">
        <is>
          <t>Gabieto Occidental</t>
        </is>
      </c>
      <c r="C53" s="52" t="n">
        <v>3034</v>
      </c>
      <c r="D53" s="53" t="inlineStr">
        <is>
          <t>Z3 · Monte Perdido</t>
        </is>
      </c>
      <c r="E53" s="33" t="inlineStr">
        <is>
          <t>Principal</t>
        </is>
      </c>
      <c r="F53" s="33" t="inlineStr">
        <is>
          <t>No</t>
        </is>
      </c>
      <c r="G53" s="33"/>
      <c r="H53" s="54"/>
      <c r="I53" s="53"/>
      <c r="J53" s="33"/>
      <c r="K53" s="53"/>
    </row>
    <row r="54">
      <c r="A54" s="33" t="inlineStr">
        <is>
          <t>023</t>
        </is>
      </c>
      <c r="B54" s="32" t="inlineStr">
        <is>
          <t>Gabieto Oriental</t>
        </is>
      </c>
      <c r="C54" s="52" t="n">
        <v>3031</v>
      </c>
      <c r="D54" s="53" t="inlineStr">
        <is>
          <t>Z3 · Monte Perdido</t>
        </is>
      </c>
      <c r="E54" s="33" t="inlineStr">
        <is>
          <t>Principal</t>
        </is>
      </c>
      <c r="F54" s="33" t="inlineStr">
        <is>
          <t>No</t>
        </is>
      </c>
      <c r="G54" s="33"/>
      <c r="H54" s="54"/>
      <c r="I54" s="53"/>
      <c r="J54" s="33"/>
      <c r="K54" s="53"/>
    </row>
    <row r="55">
      <c r="A55" s="33" t="inlineStr">
        <is>
          <t>16</t>
        </is>
      </c>
      <c r="B55" s="32" t="inlineStr">
        <is>
          <t>Punta Escaleras</t>
        </is>
      </c>
      <c r="C55" s="52" t="n">
        <v>3027</v>
      </c>
      <c r="D55" s="53" t="inlineStr">
        <is>
          <t>Z3 · Monte Perdido</t>
        </is>
      </c>
      <c r="E55" s="33" t="inlineStr">
        <is>
          <t>Secundari</t>
        </is>
      </c>
      <c r="F55" s="33" t="inlineStr">
        <is>
          <t>No</t>
        </is>
      </c>
      <c r="G55" s="33"/>
      <c r="H55" s="54"/>
      <c r="I55" s="53"/>
      <c r="J55" s="33"/>
      <c r="K55" s="53"/>
    </row>
    <row r="56">
      <c r="A56" s="33" t="inlineStr">
        <is>
          <t>038</t>
        </is>
      </c>
      <c r="B56" s="32" t="inlineStr">
        <is>
          <t>Baudrimont SE</t>
        </is>
      </c>
      <c r="C56" s="52" t="n">
        <v>3026</v>
      </c>
      <c r="D56" s="53" t="inlineStr">
        <is>
          <t>Z3 · Monte Perdido</t>
        </is>
      </c>
      <c r="E56" s="33" t="inlineStr">
        <is>
          <t>Principal</t>
        </is>
      </c>
      <c r="F56" s="33" t="inlineStr">
        <is>
          <t>No</t>
        </is>
      </c>
      <c r="G56" s="33"/>
      <c r="H56" s="54"/>
      <c r="I56" s="53"/>
      <c r="J56" s="33"/>
      <c r="K56" s="53"/>
    </row>
    <row r="57">
      <c r="A57" s="33" t="inlineStr">
        <is>
          <t>032</t>
        </is>
      </c>
      <c r="B57" s="32" t="inlineStr">
        <is>
          <t>Astazu Occidental</t>
        </is>
      </c>
      <c r="C57" s="52" t="n">
        <v>3012</v>
      </c>
      <c r="D57" s="53" t="inlineStr">
        <is>
          <t>Z3 · Monte Perdido</t>
        </is>
      </c>
      <c r="E57" s="33" t="inlineStr">
        <is>
          <t>Principal</t>
        </is>
      </c>
      <c r="F57" s="33" t="inlineStr">
        <is>
          <t>No</t>
        </is>
      </c>
      <c r="G57" s="33"/>
      <c r="H57" s="54"/>
      <c r="I57" s="53"/>
      <c r="J57" s="33"/>
      <c r="K57" s="53"/>
    </row>
    <row r="58">
      <c r="A58" s="33" t="inlineStr">
        <is>
          <t>026</t>
        </is>
      </c>
      <c r="B58" s="32" t="inlineStr">
        <is>
          <t>Torre de Marboré</t>
        </is>
      </c>
      <c r="C58" s="52" t="n">
        <v>3009</v>
      </c>
      <c r="D58" s="53" t="inlineStr">
        <is>
          <t>Z3 · Monte Perdido</t>
        </is>
      </c>
      <c r="E58" s="33" t="inlineStr">
        <is>
          <t>Principal</t>
        </is>
      </c>
      <c r="F58" s="33" t="inlineStr">
        <is>
          <t>No</t>
        </is>
      </c>
      <c r="G58" s="33"/>
      <c r="H58" s="54"/>
      <c r="I58" s="53"/>
      <c r="J58" s="33"/>
      <c r="K58" s="53"/>
    </row>
    <row r="59">
      <c r="A59" s="33" t="inlineStr">
        <is>
          <t>025</t>
        </is>
      </c>
      <c r="B59" s="32" t="inlineStr">
        <is>
          <t>Casco de Marboré</t>
        </is>
      </c>
      <c r="C59" s="52" t="n">
        <v>3006</v>
      </c>
      <c r="D59" s="53" t="inlineStr">
        <is>
          <t>Z3 · Monte Perdido</t>
        </is>
      </c>
      <c r="E59" s="33" t="inlineStr">
        <is>
          <t>Principal</t>
        </is>
      </c>
      <c r="F59" s="33" t="inlineStr">
        <is>
          <t>No</t>
        </is>
      </c>
      <c r="G59" s="33"/>
      <c r="H59" s="54"/>
      <c r="I59" s="53"/>
      <c r="J59" s="33"/>
      <c r="K59" s="53"/>
    </row>
    <row r="60">
      <c r="A60" s="33" t="inlineStr">
        <is>
          <t>039</t>
        </is>
      </c>
      <c r="B60" s="32" t="inlineStr">
        <is>
          <t>Punta de las Olas</t>
        </is>
      </c>
      <c r="C60" s="52" t="n">
        <v>3002</v>
      </c>
      <c r="D60" s="53" t="inlineStr">
        <is>
          <t>Z3 · Monte Perdido</t>
        </is>
      </c>
      <c r="E60" s="33" t="inlineStr">
        <is>
          <t>Principal</t>
        </is>
      </c>
      <c r="F60" s="33" t="inlineStr">
        <is>
          <t>No</t>
        </is>
      </c>
      <c r="G60" s="33"/>
      <c r="H60" s="54"/>
      <c r="I60" s="53"/>
      <c r="J60" s="33"/>
      <c r="K60" s="53"/>
    </row>
    <row r="61">
      <c r="A61" s="33" t="inlineStr">
        <is>
          <t>043</t>
        </is>
      </c>
      <c r="B61" s="32" t="inlineStr">
        <is>
          <t>La Munia</t>
        </is>
      </c>
      <c r="C61" s="52" t="n">
        <v>3133</v>
      </c>
      <c r="D61" s="53" t="inlineStr">
        <is>
          <t>Z4 · La Munia</t>
        </is>
      </c>
      <c r="E61" s="33" t="inlineStr">
        <is>
          <t>Principal</t>
        </is>
      </c>
      <c r="F61" s="33" t="inlineStr">
        <is>
          <t>No</t>
        </is>
      </c>
      <c r="G61" s="33"/>
      <c r="H61" s="54"/>
      <c r="I61" s="53"/>
      <c r="J61" s="33"/>
      <c r="K61" s="53"/>
    </row>
    <row r="62">
      <c r="A62" s="33" t="inlineStr">
        <is>
          <t>18</t>
        </is>
      </c>
      <c r="B62" s="32" t="inlineStr">
        <is>
          <t>Pequeña Munia</t>
        </is>
      </c>
      <c r="C62" s="52" t="n">
        <v>3096</v>
      </c>
      <c r="D62" s="53" t="inlineStr">
        <is>
          <t>Z4 · La Munia</t>
        </is>
      </c>
      <c r="E62" s="33" t="inlineStr">
        <is>
          <t>Secundari</t>
        </is>
      </c>
      <c r="F62" s="33" t="inlineStr">
        <is>
          <t>No</t>
        </is>
      </c>
      <c r="G62" s="33"/>
      <c r="H62" s="54"/>
      <c r="I62" s="53"/>
      <c r="J62" s="33"/>
      <c r="K62" s="53"/>
    </row>
    <row r="63">
      <c r="A63" s="33" t="inlineStr">
        <is>
          <t>042</t>
        </is>
      </c>
      <c r="B63" s="32" t="inlineStr">
        <is>
          <t>Sierra Morena</t>
        </is>
      </c>
      <c r="C63" s="52" t="n">
        <v>3090</v>
      </c>
      <c r="D63" s="53" t="inlineStr">
        <is>
          <t>Z4 · La Munia</t>
        </is>
      </c>
      <c r="E63" s="33" t="inlineStr">
        <is>
          <t>Principal</t>
        </is>
      </c>
      <c r="F63" s="33" t="inlineStr">
        <is>
          <t>No</t>
        </is>
      </c>
      <c r="G63" s="33"/>
      <c r="H63" s="54"/>
      <c r="I63" s="53"/>
      <c r="J63" s="33"/>
      <c r="K63" s="53"/>
    </row>
    <row r="64">
      <c r="A64" s="33" t="inlineStr">
        <is>
          <t>041</t>
        </is>
      </c>
      <c r="B64" s="32" t="inlineStr">
        <is>
          <t>Troumouse</t>
        </is>
      </c>
      <c r="C64" s="52" t="n">
        <v>3085</v>
      </c>
      <c r="D64" s="53" t="inlineStr">
        <is>
          <t>Z4 · La Munia</t>
        </is>
      </c>
      <c r="E64" s="33" t="inlineStr">
        <is>
          <t>Principal</t>
        </is>
      </c>
      <c r="F64" s="33" t="inlineStr">
        <is>
          <t>No</t>
        </is>
      </c>
      <c r="G64" s="33"/>
      <c r="H64" s="54"/>
      <c r="I64" s="53"/>
      <c r="J64" s="33"/>
      <c r="K64" s="53"/>
    </row>
    <row r="65">
      <c r="A65" s="33" t="inlineStr">
        <is>
          <t>040</t>
        </is>
      </c>
      <c r="B65" s="32" t="inlineStr">
        <is>
          <t>Pic Heid</t>
        </is>
      </c>
      <c r="C65" s="52" t="n">
        <v>3022</v>
      </c>
      <c r="D65" s="53" t="inlineStr">
        <is>
          <t>Z4 · La Munia</t>
        </is>
      </c>
      <c r="E65" s="33" t="inlineStr">
        <is>
          <t>Principal</t>
        </is>
      </c>
      <c r="F65" s="33" t="inlineStr">
        <is>
          <t>No</t>
        </is>
      </c>
      <c r="G65" s="33"/>
      <c r="H65" s="54"/>
      <c r="I65" s="53"/>
      <c r="J65" s="33"/>
      <c r="K65" s="53"/>
    </row>
    <row r="66">
      <c r="A66" s="33" t="inlineStr">
        <is>
          <t>044</t>
        </is>
      </c>
      <c r="B66" s="32" t="inlineStr">
        <is>
          <t>Robiñera</t>
        </is>
      </c>
      <c r="C66" s="52" t="n">
        <v>3003</v>
      </c>
      <c r="D66" s="53" t="inlineStr">
        <is>
          <t>Z4 · La Munia</t>
        </is>
      </c>
      <c r="E66" s="33" t="inlineStr">
        <is>
          <t>Principal</t>
        </is>
      </c>
      <c r="F66" s="33" t="inlineStr">
        <is>
          <t>No</t>
        </is>
      </c>
      <c r="G66" s="33"/>
      <c r="H66" s="54"/>
      <c r="I66" s="53"/>
      <c r="J66" s="33"/>
      <c r="K66" s="53"/>
    </row>
    <row r="67">
      <c r="A67" s="33" t="inlineStr">
        <is>
          <t>052</t>
        </is>
      </c>
      <c r="B67" s="32" t="inlineStr">
        <is>
          <t>Pic Long</t>
        </is>
      </c>
      <c r="C67" s="52" t="n">
        <v>3192</v>
      </c>
      <c r="D67" s="53" t="inlineStr">
        <is>
          <t>Z5 · Néouvielle</t>
        </is>
      </c>
      <c r="E67" s="33" t="inlineStr">
        <is>
          <t>Principal</t>
        </is>
      </c>
      <c r="F67" s="33" t="inlineStr">
        <is>
          <t>No</t>
        </is>
      </c>
      <c r="G67" s="33"/>
      <c r="H67" s="54"/>
      <c r="I67" s="53"/>
      <c r="J67" s="33"/>
      <c r="K67" s="53"/>
    </row>
    <row r="68">
      <c r="A68" s="33" t="inlineStr">
        <is>
          <t>055</t>
        </is>
      </c>
      <c r="B68" s="32" t="inlineStr">
        <is>
          <t>Campbieil</t>
        </is>
      </c>
      <c r="C68" s="52" t="n">
        <v>3173</v>
      </c>
      <c r="D68" s="53" t="inlineStr">
        <is>
          <t>Z5 · Néouvielle</t>
        </is>
      </c>
      <c r="E68" s="33" t="inlineStr">
        <is>
          <t>Principal</t>
        </is>
      </c>
      <c r="F68" s="33" t="inlineStr">
        <is>
          <t>No</t>
        </is>
      </c>
      <c r="G68" s="33"/>
      <c r="H68" s="54"/>
      <c r="I68" s="53"/>
      <c r="J68" s="33"/>
      <c r="K68" s="53"/>
    </row>
    <row r="69">
      <c r="A69" s="33" t="inlineStr">
        <is>
          <t>053</t>
        </is>
      </c>
      <c r="B69" s="32" t="inlineStr">
        <is>
          <t>Badet</t>
        </is>
      </c>
      <c r="C69" s="52" t="n">
        <v>3160</v>
      </c>
      <c r="D69" s="53" t="inlineStr">
        <is>
          <t>Z5 · Néouvielle</t>
        </is>
      </c>
      <c r="E69" s="33" t="inlineStr">
        <is>
          <t>Principal</t>
        </is>
      </c>
      <c r="F69" s="33" t="inlineStr">
        <is>
          <t>No</t>
        </is>
      </c>
      <c r="G69" s="33"/>
      <c r="H69" s="54"/>
      <c r="I69" s="53"/>
      <c r="J69" s="33"/>
      <c r="K69" s="53"/>
    </row>
    <row r="70">
      <c r="A70" s="33" t="inlineStr">
        <is>
          <t>22</t>
        </is>
      </c>
      <c r="B70" s="32" t="inlineStr">
        <is>
          <t>Aguja Badet</t>
        </is>
      </c>
      <c r="C70" s="52" t="n">
        <v>3135</v>
      </c>
      <c r="D70" s="53" t="inlineStr">
        <is>
          <t>Z5 · Néouvielle</t>
        </is>
      </c>
      <c r="E70" s="33" t="inlineStr">
        <is>
          <t>Secundari</t>
        </is>
      </c>
      <c r="F70" s="33" t="inlineStr">
        <is>
          <t>No</t>
        </is>
      </c>
      <c r="G70" s="33"/>
      <c r="H70" s="54"/>
      <c r="I70" s="53"/>
      <c r="J70" s="33"/>
      <c r="K70" s="53"/>
    </row>
    <row r="71">
      <c r="A71" s="33" t="inlineStr">
        <is>
          <t>045</t>
        </is>
      </c>
      <c r="B71" s="32" t="inlineStr">
        <is>
          <t>Pico de Néouvielle</t>
        </is>
      </c>
      <c r="C71" s="52" t="n">
        <v>3091</v>
      </c>
      <c r="D71" s="53" t="inlineStr">
        <is>
          <t>Z5 · Néouvielle</t>
        </is>
      </c>
      <c r="E71" s="33" t="inlineStr">
        <is>
          <t>Principal</t>
        </is>
      </c>
      <c r="F71" s="33" t="inlineStr">
        <is>
          <t>No</t>
        </is>
      </c>
      <c r="G71" s="33"/>
      <c r="H71" s="54"/>
      <c r="I71" s="53"/>
      <c r="J71" s="33"/>
      <c r="K71" s="53"/>
    </row>
    <row r="72">
      <c r="A72" s="33" t="inlineStr">
        <is>
          <t>054</t>
        </is>
      </c>
      <c r="B72" s="32" t="inlineStr">
        <is>
          <t>Maou</t>
        </is>
      </c>
      <c r="C72" s="52" t="n">
        <v>3074</v>
      </c>
      <c r="D72" s="53" t="inlineStr">
        <is>
          <t>Z5 · Néouvielle</t>
        </is>
      </c>
      <c r="E72" s="33" t="inlineStr">
        <is>
          <t>Principal</t>
        </is>
      </c>
      <c r="F72" s="33" t="inlineStr">
        <is>
          <t>No</t>
        </is>
      </c>
      <c r="G72" s="33"/>
      <c r="H72" s="54"/>
      <c r="I72" s="53"/>
      <c r="J72" s="33"/>
      <c r="K72" s="53"/>
    </row>
    <row r="73">
      <c r="A73" s="33" t="inlineStr">
        <is>
          <t>21</t>
        </is>
      </c>
      <c r="B73" s="32" t="inlineStr">
        <is>
          <t>Maubic</t>
        </is>
      </c>
      <c r="C73" s="52" t="n">
        <v>3058</v>
      </c>
      <c r="D73" s="53" t="inlineStr">
        <is>
          <t>Z5 · Néouvielle</t>
        </is>
      </c>
      <c r="E73" s="33" t="inlineStr">
        <is>
          <t>Secundari</t>
        </is>
      </c>
      <c r="F73" s="33" t="inlineStr">
        <is>
          <t>No</t>
        </is>
      </c>
      <c r="G73" s="33"/>
      <c r="H73" s="54"/>
      <c r="I73" s="53"/>
      <c r="J73" s="33"/>
      <c r="K73" s="53"/>
    </row>
    <row r="74">
      <c r="A74" s="33" t="inlineStr">
        <is>
          <t>047</t>
        </is>
      </c>
      <c r="B74" s="32" t="inlineStr">
        <is>
          <t>Trois Conseillers</t>
        </is>
      </c>
      <c r="C74" s="52" t="n">
        <v>3039</v>
      </c>
      <c r="D74" s="53" t="inlineStr">
        <is>
          <t>Z5 · Néouvielle</t>
        </is>
      </c>
      <c r="E74" s="33" t="inlineStr">
        <is>
          <t>Principal</t>
        </is>
      </c>
      <c r="F74" s="33" t="inlineStr">
        <is>
          <t>No</t>
        </is>
      </c>
      <c r="G74" s="33"/>
      <c r="H74" s="54"/>
      <c r="I74" s="53"/>
      <c r="J74" s="33"/>
      <c r="K74" s="53"/>
    </row>
    <row r="75">
      <c r="A75" s="33" t="inlineStr">
        <is>
          <t>048</t>
        </is>
      </c>
      <c r="B75" s="32" t="inlineStr">
        <is>
          <t>Turon de Néouvielle</t>
        </is>
      </c>
      <c r="C75" s="52" t="n">
        <v>3035</v>
      </c>
      <c r="D75" s="53" t="inlineStr">
        <is>
          <t>Z5 · Néouvielle</t>
        </is>
      </c>
      <c r="E75" s="33" t="inlineStr">
        <is>
          <t>Principal</t>
        </is>
      </c>
      <c r="F75" s="33" t="inlineStr">
        <is>
          <t>No</t>
        </is>
      </c>
      <c r="G75" s="33"/>
      <c r="H75" s="54"/>
      <c r="I75" s="53"/>
      <c r="J75" s="33"/>
      <c r="K75" s="53"/>
    </row>
    <row r="76">
      <c r="A76" s="33" t="inlineStr">
        <is>
          <t>050</t>
        </is>
      </c>
      <c r="B76" s="32" t="inlineStr">
        <is>
          <t>Bugarret</t>
        </is>
      </c>
      <c r="C76" s="52" t="n">
        <v>3031</v>
      </c>
      <c r="D76" s="53" t="inlineStr">
        <is>
          <t>Z5 · Néouvielle</t>
        </is>
      </c>
      <c r="E76" s="33" t="inlineStr">
        <is>
          <t>Principal</t>
        </is>
      </c>
      <c r="F76" s="33" t="inlineStr">
        <is>
          <t>No</t>
        </is>
      </c>
      <c r="G76" s="33"/>
      <c r="H76" s="54"/>
      <c r="I76" s="53"/>
      <c r="J76" s="33"/>
      <c r="K76" s="53"/>
    </row>
    <row r="77">
      <c r="A77" s="33" t="inlineStr">
        <is>
          <t>049</t>
        </is>
      </c>
      <c r="B77" s="32" t="inlineStr">
        <is>
          <t>Pale Crabounouse</t>
        </is>
      </c>
      <c r="C77" s="52" t="n">
        <v>3021</v>
      </c>
      <c r="D77" s="53" t="inlineStr">
        <is>
          <t>Z5 · Néouvielle</t>
        </is>
      </c>
      <c r="E77" s="33" t="inlineStr">
        <is>
          <t>Principal</t>
        </is>
      </c>
      <c r="F77" s="33" t="inlineStr">
        <is>
          <t>No</t>
        </is>
      </c>
      <c r="G77" s="33"/>
      <c r="H77" s="54"/>
      <c r="I77" s="53"/>
      <c r="J77" s="33"/>
      <c r="K77" s="53"/>
    </row>
    <row r="78">
      <c r="A78" s="33" t="inlineStr">
        <is>
          <t>051</t>
        </is>
      </c>
      <c r="B78" s="32" t="inlineStr">
        <is>
          <t>Dent d'Estibère Male</t>
        </is>
      </c>
      <c r="C78" s="52" t="n">
        <v>3017</v>
      </c>
      <c r="D78" s="53" t="inlineStr">
        <is>
          <t>Z5 · Néouvielle</t>
        </is>
      </c>
      <c r="E78" s="33" t="inlineStr">
        <is>
          <t>Principal</t>
        </is>
      </c>
      <c r="F78" s="33" t="inlineStr">
        <is>
          <t>No</t>
        </is>
      </c>
      <c r="G78" s="33"/>
      <c r="H78" s="54"/>
      <c r="I78" s="53"/>
      <c r="J78" s="33"/>
      <c r="K78" s="53"/>
    </row>
    <row r="79">
      <c r="A79" s="33" t="inlineStr">
        <is>
          <t>20</t>
        </is>
      </c>
      <c r="B79" s="32" t="inlineStr">
        <is>
          <t>Aguja Tourrat</t>
        </is>
      </c>
      <c r="C79" s="52" t="n">
        <v>3014</v>
      </c>
      <c r="D79" s="53" t="inlineStr">
        <is>
          <t>Z5 · Néouvielle</t>
        </is>
      </c>
      <c r="E79" s="33" t="inlineStr">
        <is>
          <t>Secundari</t>
        </is>
      </c>
      <c r="F79" s="33" t="inlineStr">
        <is>
          <t>No</t>
        </is>
      </c>
      <c r="G79" s="33"/>
      <c r="H79" s="54"/>
      <c r="I79" s="53"/>
      <c r="J79" s="33"/>
      <c r="K79" s="53"/>
    </row>
    <row r="80">
      <c r="A80" s="33" t="inlineStr">
        <is>
          <t>046</t>
        </is>
      </c>
      <c r="B80" s="32" t="inlineStr">
        <is>
          <t>Ramougn</t>
        </is>
      </c>
      <c r="C80" s="52" t="n">
        <v>3011</v>
      </c>
      <c r="D80" s="53" t="inlineStr">
        <is>
          <t>Z5 · Néouvielle</t>
        </is>
      </c>
      <c r="E80" s="33" t="inlineStr">
        <is>
          <t>Principal</t>
        </is>
      </c>
      <c r="F80" s="33" t="inlineStr">
        <is>
          <t>No</t>
        </is>
      </c>
      <c r="G80" s="33"/>
      <c r="H80" s="54"/>
      <c r="I80" s="53"/>
      <c r="J80" s="33"/>
      <c r="K80" s="53"/>
    </row>
    <row r="81">
      <c r="A81" s="33" t="inlineStr">
        <is>
          <t>19</t>
        </is>
      </c>
      <c r="B81" s="32" t="inlineStr">
        <is>
          <t>Punta Reboul-Vidal</t>
        </is>
      </c>
      <c r="C81" s="52" t="n">
        <v>3007</v>
      </c>
      <c r="D81" s="53" t="inlineStr">
        <is>
          <t>Z5 · Néouvielle</t>
        </is>
      </c>
      <c r="E81" s="33" t="inlineStr">
        <is>
          <t>Secundari</t>
        </is>
      </c>
      <c r="F81" s="33" t="inlineStr">
        <is>
          <t>No</t>
        </is>
      </c>
      <c r="G81" s="33"/>
      <c r="H81" s="54"/>
      <c r="I81" s="53"/>
      <c r="J81" s="33"/>
      <c r="K81" s="53"/>
    </row>
    <row r="82">
      <c r="A82" s="33" t="inlineStr">
        <is>
          <t>056</t>
        </is>
      </c>
      <c r="B82" s="32" t="inlineStr">
        <is>
          <t>Estaragne</t>
        </is>
      </c>
      <c r="C82" s="52" t="n">
        <v>3006</v>
      </c>
      <c r="D82" s="53" t="inlineStr">
        <is>
          <t>Z5 · Néouvielle</t>
        </is>
      </c>
      <c r="E82" s="33" t="inlineStr">
        <is>
          <t>Principal</t>
        </is>
      </c>
      <c r="F82" s="33" t="inlineStr">
        <is>
          <t>No</t>
        </is>
      </c>
      <c r="G82" s="33"/>
      <c r="H82" s="54"/>
      <c r="I82" s="53"/>
      <c r="J82" s="33"/>
      <c r="K82" s="53"/>
    </row>
    <row r="83">
      <c r="A83" s="33" t="inlineStr">
        <is>
          <t>064</t>
        </is>
      </c>
      <c r="B83" s="32" t="inlineStr">
        <is>
          <t>Pico Schrader (Gran Bachimala)</t>
        </is>
      </c>
      <c r="C83" s="52" t="n">
        <v>3177</v>
      </c>
      <c r="D83" s="53" t="inlineStr">
        <is>
          <t>Z6 · Bachimala</t>
        </is>
      </c>
      <c r="E83" s="33" t="inlineStr">
        <is>
          <t>Principal</t>
        </is>
      </c>
      <c r="F83" s="33" t="inlineStr">
        <is>
          <t>No</t>
        </is>
      </c>
      <c r="G83" s="33"/>
      <c r="H83" s="54"/>
      <c r="I83" s="53"/>
      <c r="J83" s="33"/>
      <c r="K83" s="53"/>
    </row>
    <row r="84">
      <c r="A84" s="33" t="inlineStr">
        <is>
          <t>065</t>
        </is>
      </c>
      <c r="B84" s="32" t="inlineStr">
        <is>
          <t>Punta del Sabre</t>
        </is>
      </c>
      <c r="C84" s="52" t="n">
        <v>3136</v>
      </c>
      <c r="D84" s="53" t="inlineStr">
        <is>
          <t>Z6 · Bachimala</t>
        </is>
      </c>
      <c r="E84" s="33" t="inlineStr">
        <is>
          <t>Principal</t>
        </is>
      </c>
      <c r="F84" s="33" t="inlineStr">
        <is>
          <t>No</t>
        </is>
      </c>
      <c r="G84" s="33"/>
      <c r="H84" s="54"/>
      <c r="I84" s="53"/>
      <c r="J84" s="33"/>
      <c r="K84" s="53"/>
    </row>
    <row r="85">
      <c r="A85" s="33" t="inlineStr">
        <is>
          <t>063</t>
        </is>
      </c>
      <c r="B85" s="32" t="inlineStr">
        <is>
          <t>Punta Ledormeur</t>
        </is>
      </c>
      <c r="C85" s="52" t="n">
        <v>3120</v>
      </c>
      <c r="D85" s="53" t="inlineStr">
        <is>
          <t>Z6 · Bachimala</t>
        </is>
      </c>
      <c r="E85" s="33" t="inlineStr">
        <is>
          <t>Principal</t>
        </is>
      </c>
      <c r="F85" s="33" t="inlineStr">
        <is>
          <t>No</t>
        </is>
      </c>
      <c r="G85" s="33"/>
      <c r="H85" s="54"/>
      <c r="I85" s="53"/>
      <c r="J85" s="33"/>
      <c r="K85" s="53"/>
    </row>
    <row r="86">
      <c r="A86" s="33" t="inlineStr">
        <is>
          <t>26</t>
        </is>
      </c>
      <c r="B86" s="32" t="inlineStr">
        <is>
          <t>Punta del Ibón</t>
        </is>
      </c>
      <c r="C86" s="52" t="n">
        <v>3100</v>
      </c>
      <c r="D86" s="53" t="inlineStr">
        <is>
          <t>Z6 · Bachimala</t>
        </is>
      </c>
      <c r="E86" s="33" t="inlineStr">
        <is>
          <t>Secundari</t>
        </is>
      </c>
      <c r="F86" s="33" t="inlineStr">
        <is>
          <t>No</t>
        </is>
      </c>
      <c r="G86" s="33"/>
      <c r="H86" s="54"/>
      <c r="I86" s="53"/>
      <c r="J86" s="33"/>
      <c r="K86" s="53"/>
    </row>
    <row r="87">
      <c r="A87" s="33" t="inlineStr">
        <is>
          <t>25</t>
        </is>
      </c>
      <c r="B87" s="32" t="inlineStr">
        <is>
          <t>Pequeño Bachimala</t>
        </is>
      </c>
      <c r="C87" s="52" t="n">
        <v>3061</v>
      </c>
      <c r="D87" s="53" t="inlineStr">
        <is>
          <t>Z6 · Bachimala</t>
        </is>
      </c>
      <c r="E87" s="33" t="inlineStr">
        <is>
          <t>Secundari</t>
        </is>
      </c>
      <c r="F87" s="33" t="inlineStr">
        <is>
          <t>No</t>
        </is>
      </c>
      <c r="G87" s="33"/>
      <c r="H87" s="54"/>
      <c r="I87" s="53"/>
      <c r="J87" s="33"/>
      <c r="K87" s="53"/>
    </row>
    <row r="88">
      <c r="A88" s="33" t="inlineStr">
        <is>
          <t>062</t>
        </is>
      </c>
      <c r="B88" s="32" t="inlineStr">
        <is>
          <t>Pico Marcos Feliu</t>
        </is>
      </c>
      <c r="C88" s="52" t="n">
        <v>3057</v>
      </c>
      <c r="D88" s="53" t="inlineStr">
        <is>
          <t>Z6 · Bachimala</t>
        </is>
      </c>
      <c r="E88" s="33" t="inlineStr">
        <is>
          <t>Principal</t>
        </is>
      </c>
      <c r="F88" s="33" t="inlineStr">
        <is>
          <t>No</t>
        </is>
      </c>
      <c r="G88" s="33"/>
      <c r="H88" s="54"/>
      <c r="I88" s="53"/>
      <c r="J88" s="33"/>
      <c r="K88" s="53"/>
    </row>
    <row r="89">
      <c r="A89" s="33" t="inlineStr">
        <is>
          <t>058</t>
        </is>
      </c>
      <c r="B89" s="32" t="inlineStr">
        <is>
          <t>Culfreda</t>
        </is>
      </c>
      <c r="C89" s="52" t="n">
        <v>3034</v>
      </c>
      <c r="D89" s="53" t="inlineStr">
        <is>
          <t>Z6 · Bachimala</t>
        </is>
      </c>
      <c r="E89" s="33" t="inlineStr">
        <is>
          <t>Principal</t>
        </is>
      </c>
      <c r="F89" s="33" t="inlineStr">
        <is>
          <t>No</t>
        </is>
      </c>
      <c r="G89" s="33"/>
      <c r="H89" s="54"/>
      <c r="I89" s="53"/>
      <c r="J89" s="33"/>
      <c r="K89" s="53"/>
    </row>
    <row r="90">
      <c r="A90" s="33" t="inlineStr">
        <is>
          <t>23</t>
        </is>
      </c>
      <c r="B90" s="32" t="inlineStr">
        <is>
          <t>Culfreda NE</t>
        </is>
      </c>
      <c r="C90" s="52" t="n">
        <v>3032</v>
      </c>
      <c r="D90" s="53" t="inlineStr">
        <is>
          <t>Z6 · Bachimala</t>
        </is>
      </c>
      <c r="E90" s="33" t="inlineStr">
        <is>
          <t>Secundari</t>
        </is>
      </c>
      <c r="F90" s="33" t="inlineStr">
        <is>
          <t>No</t>
        </is>
      </c>
      <c r="G90" s="33"/>
      <c r="H90" s="54"/>
      <c r="I90" s="53"/>
      <c r="J90" s="33"/>
      <c r="K90" s="53"/>
    </row>
    <row r="91">
      <c r="A91" s="33" t="inlineStr">
        <is>
          <t>061</t>
        </is>
      </c>
      <c r="B91" s="32" t="inlineStr">
        <is>
          <t>Abeillé</t>
        </is>
      </c>
      <c r="C91" s="52" t="n">
        <v>3029</v>
      </c>
      <c r="D91" s="53" t="inlineStr">
        <is>
          <t>Z6 · Bachimala</t>
        </is>
      </c>
      <c r="E91" s="33" t="inlineStr">
        <is>
          <t>Principal</t>
        </is>
      </c>
      <c r="F91" s="33" t="inlineStr">
        <is>
          <t>No</t>
        </is>
      </c>
      <c r="G91" s="33"/>
      <c r="H91" s="54"/>
      <c r="I91" s="53"/>
      <c r="J91" s="33"/>
      <c r="K91" s="53"/>
    </row>
    <row r="92">
      <c r="A92" s="33" t="inlineStr">
        <is>
          <t>24</t>
        </is>
      </c>
      <c r="B92" s="32" t="inlineStr">
        <is>
          <t>Culfreda Central</t>
        </is>
      </c>
      <c r="C92" s="52" t="n">
        <v>3028</v>
      </c>
      <c r="D92" s="53" t="inlineStr">
        <is>
          <t>Z6 · Bachimala</t>
        </is>
      </c>
      <c r="E92" s="33" t="inlineStr">
        <is>
          <t>Secundari</t>
        </is>
      </c>
      <c r="F92" s="33" t="inlineStr">
        <is>
          <t>No</t>
        </is>
      </c>
      <c r="G92" s="33"/>
      <c r="H92" s="54"/>
      <c r="I92" s="53"/>
      <c r="J92" s="33"/>
      <c r="K92" s="53"/>
    </row>
    <row r="93">
      <c r="A93" s="33" t="inlineStr">
        <is>
          <t>060</t>
        </is>
      </c>
      <c r="B93" s="32" t="inlineStr">
        <is>
          <t>Pico de la Pez</t>
        </is>
      </c>
      <c r="C93" s="52" t="n">
        <v>3024</v>
      </c>
      <c r="D93" s="53" t="inlineStr">
        <is>
          <t>Z6 · Bachimala</t>
        </is>
      </c>
      <c r="E93" s="33" t="inlineStr">
        <is>
          <t>Principal</t>
        </is>
      </c>
      <c r="F93" s="33" t="inlineStr">
        <is>
          <t>No</t>
        </is>
      </c>
      <c r="G93" s="33"/>
      <c r="H93" s="54"/>
      <c r="I93" s="53"/>
      <c r="J93" s="33"/>
      <c r="K93" s="53"/>
    </row>
    <row r="94">
      <c r="A94" s="33" t="inlineStr">
        <is>
          <t>057</t>
        </is>
      </c>
      <c r="B94" s="32" t="inlineStr">
        <is>
          <t>Lustou</t>
        </is>
      </c>
      <c r="C94" s="52" t="n">
        <v>3023</v>
      </c>
      <c r="D94" s="53" t="inlineStr">
        <is>
          <t>Z6 · Bachimala</t>
        </is>
      </c>
      <c r="E94" s="33" t="inlineStr">
        <is>
          <t>Principal</t>
        </is>
      </c>
      <c r="F94" s="33" t="inlineStr">
        <is>
          <t>No</t>
        </is>
      </c>
      <c r="G94" s="33"/>
      <c r="H94" s="54"/>
      <c r="I94" s="53"/>
      <c r="J94" s="33"/>
      <c r="K94" s="53"/>
    </row>
    <row r="95">
      <c r="A95" s="33" t="inlineStr">
        <is>
          <t>059</t>
        </is>
      </c>
      <c r="B95" s="32" t="inlineStr">
        <is>
          <t>Pico Puerto de la Pez</t>
        </is>
      </c>
      <c r="C95" s="52" t="n">
        <v>3018</v>
      </c>
      <c r="D95" s="53" t="inlineStr">
        <is>
          <t>Z6 · Bachimala</t>
        </is>
      </c>
      <c r="E95" s="33" t="inlineStr">
        <is>
          <t>Principal</t>
        </is>
      </c>
      <c r="F95" s="33" t="inlineStr">
        <is>
          <t>No</t>
        </is>
      </c>
      <c r="G95" s="33"/>
      <c r="H95" s="54"/>
      <c r="I95" s="53"/>
      <c r="J95" s="33"/>
      <c r="K95" s="53"/>
    </row>
    <row r="96">
      <c r="A96" s="33" t="inlineStr">
        <is>
          <t>068</t>
        </is>
      </c>
      <c r="B96" s="32" t="inlineStr">
        <is>
          <t>Pico de Posets</t>
        </is>
      </c>
      <c r="C96" s="52" t="n">
        <v>3375</v>
      </c>
      <c r="D96" s="53" t="inlineStr">
        <is>
          <t>Z7 · Posets-Eriste</t>
        </is>
      </c>
      <c r="E96" s="33" t="inlineStr">
        <is>
          <t>Principal</t>
        </is>
      </c>
      <c r="F96" s="33" t="inlineStr">
        <is>
          <t>No</t>
        </is>
      </c>
      <c r="G96" s="33"/>
      <c r="H96" s="54"/>
      <c r="I96" s="53"/>
      <c r="J96" s="33"/>
      <c r="K96" s="53"/>
    </row>
    <row r="97">
      <c r="A97" s="33" t="inlineStr">
        <is>
          <t>073</t>
        </is>
      </c>
      <c r="B97" s="32" t="inlineStr">
        <is>
          <t>Las Espadas</t>
        </is>
      </c>
      <c r="C97" s="52" t="n">
        <v>3332</v>
      </c>
      <c r="D97" s="53" t="inlineStr">
        <is>
          <t>Z7 · Posets-Eriste</t>
        </is>
      </c>
      <c r="E97" s="33" t="inlineStr">
        <is>
          <t>Principal</t>
        </is>
      </c>
      <c r="F97" s="33" t="inlineStr">
        <is>
          <t>No</t>
        </is>
      </c>
      <c r="G97" s="33"/>
      <c r="H97" s="54"/>
      <c r="I97" s="53"/>
      <c r="J97" s="33"/>
      <c r="K97" s="53"/>
    </row>
    <row r="98">
      <c r="A98" s="33" t="inlineStr">
        <is>
          <t>072</t>
        </is>
      </c>
      <c r="B98" s="32" t="inlineStr">
        <is>
          <t>Tuca de Llardaneta</t>
        </is>
      </c>
      <c r="C98" s="52" t="n">
        <v>3311</v>
      </c>
      <c r="D98" s="53" t="inlineStr">
        <is>
          <t>Z7 · Posets-Eriste</t>
        </is>
      </c>
      <c r="E98" s="33" t="inlineStr">
        <is>
          <t>Principal</t>
        </is>
      </c>
      <c r="F98" s="33" t="inlineStr">
        <is>
          <t>No</t>
        </is>
      </c>
      <c r="G98" s="33"/>
      <c r="H98" s="54"/>
      <c r="I98" s="53"/>
      <c r="J98" s="33"/>
      <c r="K98" s="53"/>
    </row>
    <row r="99">
      <c r="A99" s="33" t="inlineStr">
        <is>
          <t>28</t>
        </is>
      </c>
      <c r="B99" s="32" t="inlineStr">
        <is>
          <t>Tuqueta Roya</t>
        </is>
      </c>
      <c r="C99" s="52" t="n">
        <v>3273</v>
      </c>
      <c r="D99" s="53" t="inlineStr">
        <is>
          <t>Z7 · Posets-Eriste</t>
        </is>
      </c>
      <c r="E99" s="33" t="inlineStr">
        <is>
          <t>Secundari</t>
        </is>
      </c>
      <c r="F99" s="33" t="inlineStr">
        <is>
          <t>No</t>
        </is>
      </c>
      <c r="G99" s="33"/>
      <c r="H99" s="54"/>
      <c r="I99" s="53"/>
      <c r="J99" s="33"/>
      <c r="K99" s="53"/>
    </row>
    <row r="100">
      <c r="A100" s="33" t="inlineStr">
        <is>
          <t>067</t>
        </is>
      </c>
      <c r="B100" s="32" t="inlineStr">
        <is>
          <t>Los Gemelos Ravier</t>
        </is>
      </c>
      <c r="C100" s="52" t="n">
        <v>3160</v>
      </c>
      <c r="D100" s="53" t="inlineStr">
        <is>
          <t>Z7 · Posets-Eriste</t>
        </is>
      </c>
      <c r="E100" s="33" t="inlineStr">
        <is>
          <t>Principal</t>
        </is>
      </c>
      <c r="F100" s="33" t="inlineStr">
        <is>
          <t>No</t>
        </is>
      </c>
      <c r="G100" s="33"/>
      <c r="H100" s="54"/>
      <c r="I100" s="53"/>
      <c r="J100" s="33"/>
      <c r="K100" s="53"/>
    </row>
    <row r="101">
      <c r="A101" s="33" t="inlineStr">
        <is>
          <t>066</t>
        </is>
      </c>
      <c r="B101" s="32" t="inlineStr">
        <is>
          <t>Veteranos</t>
        </is>
      </c>
      <c r="C101" s="52" t="n">
        <v>3125</v>
      </c>
      <c r="D101" s="53" t="inlineStr">
        <is>
          <t>Z7 · Posets-Eriste</t>
        </is>
      </c>
      <c r="E101" s="33" t="inlineStr">
        <is>
          <t>Principal</t>
        </is>
      </c>
      <c r="F101" s="33" t="inlineStr">
        <is>
          <t>No</t>
        </is>
      </c>
      <c r="G101" s="33"/>
      <c r="H101" s="54"/>
      <c r="I101" s="53"/>
      <c r="J101" s="33"/>
      <c r="K101" s="53"/>
    </row>
    <row r="102">
      <c r="A102" s="33" t="inlineStr">
        <is>
          <t>074</t>
        </is>
      </c>
      <c r="B102" s="32" t="inlineStr">
        <is>
          <t>Pavots</t>
        </is>
      </c>
      <c r="C102" s="52" t="n">
        <v>3121</v>
      </c>
      <c r="D102" s="53" t="inlineStr">
        <is>
          <t>Z7 · Posets-Eriste</t>
        </is>
      </c>
      <c r="E102" s="33" t="inlineStr">
        <is>
          <t>Principal</t>
        </is>
      </c>
      <c r="F102" s="33" t="inlineStr">
        <is>
          <t>No</t>
        </is>
      </c>
      <c r="G102" s="33"/>
      <c r="H102" s="54"/>
      <c r="I102" s="53"/>
      <c r="J102" s="33"/>
      <c r="K102" s="53"/>
    </row>
    <row r="103">
      <c r="A103" s="33" t="inlineStr">
        <is>
          <t>071</t>
        </is>
      </c>
      <c r="B103" s="32" t="inlineStr">
        <is>
          <t>Diente de Llardana</t>
        </is>
      </c>
      <c r="C103" s="52" t="n">
        <v>3085</v>
      </c>
      <c r="D103" s="53" t="inlineStr">
        <is>
          <t>Z7 · Posets-Eriste</t>
        </is>
      </c>
      <c r="E103" s="33" t="inlineStr">
        <is>
          <t>Principal</t>
        </is>
      </c>
      <c r="F103" s="33" t="inlineStr">
        <is>
          <t>No</t>
        </is>
      </c>
      <c r="G103" s="33"/>
      <c r="H103" s="54"/>
      <c r="I103" s="53"/>
      <c r="J103" s="33"/>
      <c r="K103" s="53"/>
    </row>
    <row r="104">
      <c r="A104" s="33" t="inlineStr">
        <is>
          <t>29</t>
        </is>
      </c>
      <c r="B104" s="32" t="inlineStr">
        <is>
          <t>Tuca Forao de la Neu</t>
        </is>
      </c>
      <c r="C104" s="52" t="n">
        <v>3080</v>
      </c>
      <c r="D104" s="53" t="inlineStr">
        <is>
          <t>Z7 · Posets-Eriste</t>
        </is>
      </c>
      <c r="E104" s="33" t="inlineStr">
        <is>
          <t>Secundari</t>
        </is>
      </c>
      <c r="F104" s="33" t="inlineStr">
        <is>
          <t>No</t>
        </is>
      </c>
      <c r="G104" s="33"/>
      <c r="H104" s="54"/>
      <c r="I104" s="53"/>
      <c r="J104" s="33"/>
      <c r="K104" s="53"/>
    </row>
    <row r="105">
      <c r="A105" s="33" t="inlineStr">
        <is>
          <t>070</t>
        </is>
      </c>
      <c r="B105" s="32" t="inlineStr">
        <is>
          <t>Bardamina</t>
        </is>
      </c>
      <c r="C105" s="52" t="n">
        <v>3079</v>
      </c>
      <c r="D105" s="53" t="inlineStr">
        <is>
          <t>Z7 · Posets-Eriste</t>
        </is>
      </c>
      <c r="E105" s="33" t="inlineStr">
        <is>
          <t>Principal</t>
        </is>
      </c>
      <c r="F105" s="33" t="inlineStr">
        <is>
          <t>No</t>
        </is>
      </c>
      <c r="G105" s="33"/>
      <c r="H105" s="54"/>
      <c r="I105" s="53"/>
      <c r="J105" s="33"/>
      <c r="K105" s="53"/>
    </row>
    <row r="106">
      <c r="A106" s="33" t="inlineStr">
        <is>
          <t>069</t>
        </is>
      </c>
      <c r="B106" s="32" t="inlineStr">
        <is>
          <t>Pico de Paúl</t>
        </is>
      </c>
      <c r="C106" s="52" t="n">
        <v>3078</v>
      </c>
      <c r="D106" s="53" t="inlineStr">
        <is>
          <t>Z7 · Posets-Eriste</t>
        </is>
      </c>
      <c r="E106" s="33" t="inlineStr">
        <is>
          <t>Principal</t>
        </is>
      </c>
      <c r="F106" s="33" t="inlineStr">
        <is>
          <t>No</t>
        </is>
      </c>
      <c r="G106" s="33"/>
      <c r="H106" s="54"/>
      <c r="I106" s="53"/>
      <c r="J106" s="33"/>
      <c r="K106" s="53"/>
    </row>
    <row r="107">
      <c r="A107" s="33" t="inlineStr">
        <is>
          <t>27</t>
        </is>
      </c>
      <c r="B107" s="32" t="inlineStr">
        <is>
          <t>Pico Inferior de Paúl</t>
        </is>
      </c>
      <c r="C107" s="52" t="n">
        <v>3073</v>
      </c>
      <c r="D107" s="53" t="inlineStr">
        <is>
          <t>Z7 · Posets-Eriste</t>
        </is>
      </c>
      <c r="E107" s="33" t="inlineStr">
        <is>
          <t>Secundari</t>
        </is>
      </c>
      <c r="F107" s="33" t="inlineStr">
        <is>
          <t>No</t>
        </is>
      </c>
      <c r="G107" s="33"/>
      <c r="H107" s="54"/>
      <c r="I107" s="53"/>
      <c r="J107" s="33"/>
      <c r="K107" s="53"/>
    </row>
    <row r="108">
      <c r="A108" s="33" t="inlineStr">
        <is>
          <t>077</t>
        </is>
      </c>
      <c r="B108" s="32" t="inlineStr">
        <is>
          <t>Gran Pico de Eriste</t>
        </is>
      </c>
      <c r="C108" s="52" t="n">
        <v>3053</v>
      </c>
      <c r="D108" s="53" t="inlineStr">
        <is>
          <t>Z7 · Posets-Eriste</t>
        </is>
      </c>
      <c r="E108" s="33" t="inlineStr">
        <is>
          <t>Principal</t>
        </is>
      </c>
      <c r="F108" s="33" t="inlineStr">
        <is>
          <t>No</t>
        </is>
      </c>
      <c r="G108" s="33"/>
      <c r="H108" s="54"/>
      <c r="I108" s="53"/>
      <c r="J108" s="33"/>
      <c r="K108" s="53"/>
    </row>
    <row r="109">
      <c r="A109" s="33" t="inlineStr">
        <is>
          <t>078</t>
        </is>
      </c>
      <c r="B109" s="32" t="inlineStr">
        <is>
          <t>Eriste S</t>
        </is>
      </c>
      <c r="C109" s="52" t="n">
        <v>3045</v>
      </c>
      <c r="D109" s="53" t="inlineStr">
        <is>
          <t>Z7 · Posets-Eriste</t>
        </is>
      </c>
      <c r="E109" s="33" t="inlineStr">
        <is>
          <t>Principal</t>
        </is>
      </c>
      <c r="F109" s="33" t="inlineStr">
        <is>
          <t>No</t>
        </is>
      </c>
      <c r="G109" s="33"/>
      <c r="H109" s="54"/>
      <c r="I109" s="53"/>
      <c r="J109" s="33"/>
      <c r="K109" s="53"/>
    </row>
    <row r="110">
      <c r="A110" s="33" t="inlineStr">
        <is>
          <t>076</t>
        </is>
      </c>
      <c r="B110" s="32" t="inlineStr">
        <is>
          <t>Beraldi (Eriste N)</t>
        </is>
      </c>
      <c r="C110" s="52" t="n">
        <v>3025</v>
      </c>
      <c r="D110" s="53" t="inlineStr">
        <is>
          <t>Z7 · Posets-Eriste</t>
        </is>
      </c>
      <c r="E110" s="33" t="inlineStr">
        <is>
          <t>Principal</t>
        </is>
      </c>
      <c r="F110" s="33" t="inlineStr">
        <is>
          <t>No</t>
        </is>
      </c>
      <c r="G110" s="33"/>
      <c r="H110" s="54"/>
      <c r="I110" s="53"/>
      <c r="J110" s="33"/>
      <c r="K110" s="53"/>
    </row>
    <row r="111">
      <c r="A111" s="33" t="inlineStr">
        <is>
          <t>30</t>
        </is>
      </c>
      <c r="B111" s="32" t="inlineStr">
        <is>
          <t>Diente Royo</t>
        </is>
      </c>
      <c r="C111" s="52" t="n">
        <v>3010</v>
      </c>
      <c r="D111" s="53" t="inlineStr">
        <is>
          <t>Z7 · Posets-Eriste</t>
        </is>
      </c>
      <c r="E111" s="33" t="inlineStr">
        <is>
          <t>Secundari</t>
        </is>
      </c>
      <c r="F111" s="33" t="inlineStr">
        <is>
          <t>No</t>
        </is>
      </c>
      <c r="G111" s="33"/>
      <c r="H111" s="54"/>
      <c r="I111" s="53"/>
      <c r="J111" s="33"/>
      <c r="K111" s="53"/>
    </row>
    <row r="112">
      <c r="A112" s="33" t="inlineStr">
        <is>
          <t>075</t>
        </is>
      </c>
      <c r="B112" s="32" t="inlineStr">
        <is>
          <t>Forqueta</t>
        </is>
      </c>
      <c r="C112" s="52" t="n">
        <v>3007</v>
      </c>
      <c r="D112" s="53" t="inlineStr">
        <is>
          <t>Z7 · Posets-Eriste</t>
        </is>
      </c>
      <c r="E112" s="33" t="inlineStr">
        <is>
          <t>Principal</t>
        </is>
      </c>
      <c r="F112" s="33" t="inlineStr">
        <is>
          <t>No</t>
        </is>
      </c>
      <c r="G112" s="33"/>
      <c r="H112" s="54"/>
      <c r="I112" s="53"/>
      <c r="J112" s="33"/>
      <c r="K112" s="53"/>
    </row>
    <row r="113">
      <c r="A113" s="33" t="inlineStr">
        <is>
          <t>31</t>
        </is>
      </c>
      <c r="B113" s="32" t="inlineStr">
        <is>
          <t>Forqueta SE</t>
        </is>
      </c>
      <c r="C113" s="52" t="n">
        <v>3004</v>
      </c>
      <c r="D113" s="53" t="inlineStr">
        <is>
          <t>Z7 · Posets-Eriste</t>
        </is>
      </c>
      <c r="E113" s="33" t="inlineStr">
        <is>
          <t>Secundari</t>
        </is>
      </c>
      <c r="F113" s="33" t="inlineStr">
        <is>
          <t>No</t>
        </is>
      </c>
      <c r="G113" s="33"/>
      <c r="H113" s="54"/>
      <c r="I113" s="53"/>
      <c r="J113" s="33"/>
      <c r="K113" s="53"/>
    </row>
    <row r="114">
      <c r="A114" s="33" t="inlineStr">
        <is>
          <t>090</t>
        </is>
      </c>
      <c r="B114" s="32" t="inlineStr">
        <is>
          <t>Perdiguero</t>
        </is>
      </c>
      <c r="C114" s="52" t="n">
        <v>3222</v>
      </c>
      <c r="D114" s="53" t="inlineStr">
        <is>
          <t>Z8 · Clarabide-Perdiguero</t>
        </is>
      </c>
      <c r="E114" s="33" t="inlineStr">
        <is>
          <t>Principal</t>
        </is>
      </c>
      <c r="F114" s="33" t="inlineStr">
        <is>
          <t>No</t>
        </is>
      </c>
      <c r="G114" s="33"/>
      <c r="H114" s="54"/>
      <c r="I114" s="53"/>
      <c r="J114" s="33"/>
      <c r="K114" s="53"/>
    </row>
    <row r="115">
      <c r="A115" s="33" t="inlineStr">
        <is>
          <t>42</t>
        </is>
      </c>
      <c r="B115" s="32" t="inlineStr">
        <is>
          <t>Hito W de Perdiguero</t>
        </is>
      </c>
      <c r="C115" s="52" t="n">
        <v>3176</v>
      </c>
      <c r="D115" s="53" t="inlineStr">
        <is>
          <t>Z8 · Clarabide-Perdiguero</t>
        </is>
      </c>
      <c r="E115" s="33" t="inlineStr">
        <is>
          <t>Secundari</t>
        </is>
      </c>
      <c r="F115" s="33" t="inlineStr">
        <is>
          <t>No</t>
        </is>
      </c>
      <c r="G115" s="33"/>
      <c r="H115" s="54"/>
      <c r="I115" s="53"/>
      <c r="J115" s="33"/>
      <c r="K115" s="53"/>
    </row>
    <row r="116">
      <c r="A116" s="33" t="inlineStr">
        <is>
          <t>43</t>
        </is>
      </c>
      <c r="B116" s="32" t="inlineStr">
        <is>
          <t>Hito E de Perdiguero</t>
        </is>
      </c>
      <c r="C116" s="52" t="n">
        <v>3170</v>
      </c>
      <c r="D116" s="53" t="inlineStr">
        <is>
          <t>Z8 · Clarabide-Perdiguero</t>
        </is>
      </c>
      <c r="E116" s="33" t="inlineStr">
        <is>
          <t>Secundari</t>
        </is>
      </c>
      <c r="F116" s="33" t="inlineStr">
        <is>
          <t>No</t>
        </is>
      </c>
      <c r="G116" s="33"/>
      <c r="H116" s="54"/>
      <c r="I116" s="53"/>
      <c r="J116" s="33"/>
      <c r="K116" s="53"/>
    </row>
    <row r="117">
      <c r="A117" s="33" t="inlineStr">
        <is>
          <t>095</t>
        </is>
      </c>
      <c r="B117" s="32" t="inlineStr">
        <is>
          <t>Punta de Lliterola</t>
        </is>
      </c>
      <c r="C117" s="52" t="n">
        <v>3132</v>
      </c>
      <c r="D117" s="53" t="inlineStr">
        <is>
          <t>Z8 · Clarabide-Perdiguero</t>
        </is>
      </c>
      <c r="E117" s="33" t="inlineStr">
        <is>
          <t>Principal</t>
        </is>
      </c>
      <c r="F117" s="33" t="inlineStr">
        <is>
          <t>No</t>
        </is>
      </c>
      <c r="G117" s="33"/>
      <c r="H117" s="54"/>
      <c r="I117" s="53"/>
      <c r="J117" s="33"/>
      <c r="K117" s="53"/>
    </row>
    <row r="118">
      <c r="A118" s="33" t="inlineStr">
        <is>
          <t>083</t>
        </is>
      </c>
      <c r="B118" s="32" t="inlineStr">
        <is>
          <t>Pico de Gourgs-Blancs</t>
        </is>
      </c>
      <c r="C118" s="52" t="n">
        <v>3129</v>
      </c>
      <c r="D118" s="53" t="inlineStr">
        <is>
          <t>Z8 · Clarabide-Perdiguero</t>
        </is>
      </c>
      <c r="E118" s="33" t="inlineStr">
        <is>
          <t>Principal</t>
        </is>
      </c>
      <c r="F118" s="33" t="inlineStr">
        <is>
          <t>No</t>
        </is>
      </c>
      <c r="G118" s="33"/>
      <c r="H118" s="54"/>
      <c r="I118" s="53"/>
      <c r="J118" s="33"/>
      <c r="K118" s="53"/>
    </row>
    <row r="119">
      <c r="A119" s="33" t="inlineStr">
        <is>
          <t>096</t>
        </is>
      </c>
      <c r="B119" s="32" t="inlineStr">
        <is>
          <t>Pico Royo</t>
        </is>
      </c>
      <c r="C119" s="52" t="n">
        <v>3121</v>
      </c>
      <c r="D119" s="53" t="inlineStr">
        <is>
          <t>Z8 · Clarabide-Perdiguero</t>
        </is>
      </c>
      <c r="E119" s="33" t="inlineStr">
        <is>
          <t>Principal</t>
        </is>
      </c>
      <c r="F119" s="33" t="inlineStr">
        <is>
          <t>No</t>
        </is>
      </c>
      <c r="G119" s="33"/>
      <c r="H119" s="54"/>
      <c r="I119" s="53"/>
      <c r="J119" s="33"/>
      <c r="K119" s="53"/>
    </row>
    <row r="120">
      <c r="A120" s="33" t="inlineStr">
        <is>
          <t>094</t>
        </is>
      </c>
      <c r="B120" s="32" t="inlineStr">
        <is>
          <t>Crabioules Oriental</t>
        </is>
      </c>
      <c r="C120" s="52" t="n">
        <v>3116</v>
      </c>
      <c r="D120" s="53" t="inlineStr">
        <is>
          <t>Z8 · Clarabide-Perdiguero</t>
        </is>
      </c>
      <c r="E120" s="33" t="inlineStr">
        <is>
          <t>Principal</t>
        </is>
      </c>
      <c r="F120" s="33" t="inlineStr">
        <is>
          <t>No</t>
        </is>
      </c>
      <c r="G120" s="33"/>
      <c r="H120" s="54"/>
      <c r="I120" s="53"/>
      <c r="J120" s="33"/>
      <c r="K120" s="53"/>
    </row>
    <row r="121">
      <c r="A121" s="33" t="inlineStr">
        <is>
          <t>35</t>
        </is>
      </c>
      <c r="B121" s="32" t="inlineStr">
        <is>
          <t>Torre Armengaud</t>
        </is>
      </c>
      <c r="C121" s="52" t="n">
        <v>3114</v>
      </c>
      <c r="D121" s="53" t="inlineStr">
        <is>
          <t>Z8 · Clarabide-Perdiguero</t>
        </is>
      </c>
      <c r="E121" s="33" t="inlineStr">
        <is>
          <t>Secundari</t>
        </is>
      </c>
      <c r="F121" s="33" t="inlineStr">
        <is>
          <t>No</t>
        </is>
      </c>
      <c r="G121" s="33"/>
      <c r="H121" s="54"/>
      <c r="I121" s="53"/>
      <c r="J121" s="33"/>
      <c r="K121" s="53"/>
    </row>
    <row r="122">
      <c r="A122" s="33" t="inlineStr">
        <is>
          <t>088</t>
        </is>
      </c>
      <c r="B122" s="32" t="inlineStr">
        <is>
          <t>Seil Dera Baquo</t>
        </is>
      </c>
      <c r="C122" s="52" t="n">
        <v>3110</v>
      </c>
      <c r="D122" s="53" t="inlineStr">
        <is>
          <t>Z8 · Clarabide-Perdiguero</t>
        </is>
      </c>
      <c r="E122" s="33" t="inlineStr">
        <is>
          <t>Principal</t>
        </is>
      </c>
      <c r="F122" s="33" t="inlineStr">
        <is>
          <t>No</t>
        </is>
      </c>
      <c r="G122" s="33"/>
      <c r="H122" s="54"/>
      <c r="I122" s="53"/>
      <c r="J122" s="33"/>
      <c r="K122" s="53"/>
    </row>
    <row r="123">
      <c r="A123" s="33" t="inlineStr">
        <is>
          <t>097</t>
        </is>
      </c>
      <c r="B123" s="32" t="inlineStr">
        <is>
          <t>Pico de Maupas</t>
        </is>
      </c>
      <c r="C123" s="52" t="n">
        <v>3109</v>
      </c>
      <c r="D123" s="53" t="inlineStr">
        <is>
          <t>Z8 · Clarabide-Perdiguero</t>
        </is>
      </c>
      <c r="E123" s="33" t="inlineStr">
        <is>
          <t>Principal</t>
        </is>
      </c>
      <c r="F123" s="33" t="inlineStr">
        <is>
          <t>No</t>
        </is>
      </c>
      <c r="G123" s="33"/>
      <c r="H123" s="54"/>
      <c r="I123" s="53"/>
      <c r="J123" s="33"/>
      <c r="K123" s="53"/>
    </row>
    <row r="124">
      <c r="A124" s="33" t="inlineStr">
        <is>
          <t>092</t>
        </is>
      </c>
      <c r="B124" s="32" t="inlineStr">
        <is>
          <t>Pico Lézat</t>
        </is>
      </c>
      <c r="C124" s="52" t="n">
        <v>3107</v>
      </c>
      <c r="D124" s="53" t="inlineStr">
        <is>
          <t>Z8 · Clarabide-Perdiguero</t>
        </is>
      </c>
      <c r="E124" s="33" t="inlineStr">
        <is>
          <t>Principal</t>
        </is>
      </c>
      <c r="F124" s="33" t="inlineStr">
        <is>
          <t>No</t>
        </is>
      </c>
      <c r="G124" s="33"/>
      <c r="H124" s="54"/>
      <c r="I124" s="53"/>
      <c r="J124" s="33"/>
      <c r="K124" s="53"/>
    </row>
    <row r="125">
      <c r="A125" s="33" t="inlineStr">
        <is>
          <t>093</t>
        </is>
      </c>
      <c r="B125" s="32" t="inlineStr">
        <is>
          <t>Crabioules Occidental</t>
        </is>
      </c>
      <c r="C125" s="52" t="n">
        <v>3106</v>
      </c>
      <c r="D125" s="53" t="inlineStr">
        <is>
          <t>Z8 · Clarabide-Perdiguero</t>
        </is>
      </c>
      <c r="E125" s="33" t="inlineStr">
        <is>
          <t>Principal</t>
        </is>
      </c>
      <c r="F125" s="33" t="inlineStr">
        <is>
          <t>No</t>
        </is>
      </c>
      <c r="G125" s="33"/>
      <c r="H125" s="54"/>
      <c r="I125" s="53"/>
      <c r="J125" s="33"/>
      <c r="K125" s="53"/>
    </row>
    <row r="126">
      <c r="A126" s="33" t="inlineStr">
        <is>
          <t>34</t>
        </is>
      </c>
      <c r="B126" s="32" t="inlineStr">
        <is>
          <t>Punta Lourde-Rocheblave</t>
        </is>
      </c>
      <c r="C126" s="52" t="n">
        <v>3104</v>
      </c>
      <c r="D126" s="53" t="inlineStr">
        <is>
          <t>Z8 · Clarabide-Perdiguero</t>
        </is>
      </c>
      <c r="E126" s="33" t="inlineStr">
        <is>
          <t>Secundari</t>
        </is>
      </c>
      <c r="F126" s="33" t="inlineStr">
        <is>
          <t>No</t>
        </is>
      </c>
      <c r="G126" s="33"/>
      <c r="H126" s="54"/>
      <c r="I126" s="53"/>
      <c r="J126" s="33"/>
      <c r="K126" s="53"/>
    </row>
    <row r="127">
      <c r="A127" s="33" t="inlineStr">
        <is>
          <t>40</t>
        </is>
      </c>
      <c r="B127" s="32" t="inlineStr">
        <is>
          <t>Cap Dera Baquo Oriental</t>
        </is>
      </c>
      <c r="C127" s="52" t="n">
        <v>3103</v>
      </c>
      <c r="D127" s="53" t="inlineStr">
        <is>
          <t>Z8 · Clarabide-Perdiguero</t>
        </is>
      </c>
      <c r="E127" s="33" t="inlineStr">
        <is>
          <t>Secundari</t>
        </is>
      </c>
      <c r="F127" s="33" t="inlineStr">
        <is>
          <t>No</t>
        </is>
      </c>
      <c r="G127" s="33"/>
      <c r="H127" s="54"/>
      <c r="I127" s="53"/>
      <c r="J127" s="33"/>
      <c r="K127" s="53"/>
    </row>
    <row r="128">
      <c r="A128" s="33" t="inlineStr">
        <is>
          <t>39</t>
        </is>
      </c>
      <c r="B128" s="32" t="inlineStr">
        <is>
          <t>Cap Dera Baquo Occidental</t>
        </is>
      </c>
      <c r="C128" s="52" t="n">
        <v>3097</v>
      </c>
      <c r="D128" s="53" t="inlineStr">
        <is>
          <t>Z8 · Clarabide-Perdiguero</t>
        </is>
      </c>
      <c r="E128" s="33" t="inlineStr">
        <is>
          <t>Secundari</t>
        </is>
      </c>
      <c r="F128" s="33" t="inlineStr">
        <is>
          <t>No</t>
        </is>
      </c>
      <c r="G128" s="33"/>
      <c r="H128" s="54"/>
      <c r="I128" s="53"/>
      <c r="J128" s="33"/>
      <c r="K128" s="53"/>
    </row>
    <row r="129">
      <c r="A129" s="33" t="inlineStr">
        <is>
          <t>51</t>
        </is>
      </c>
      <c r="B129" s="32" t="inlineStr">
        <is>
          <t>Tuca de Lliterola</t>
        </is>
      </c>
      <c r="C129" s="52" t="n">
        <v>3095</v>
      </c>
      <c r="D129" s="53" t="inlineStr">
        <is>
          <t>Z8 · Clarabide-Perdiguero</t>
        </is>
      </c>
      <c r="E129" s="33" t="inlineStr">
        <is>
          <t>Secundari</t>
        </is>
      </c>
      <c r="F129" s="33" t="inlineStr">
        <is>
          <t>No</t>
        </is>
      </c>
      <c r="G129" s="33"/>
      <c r="H129" s="54"/>
      <c r="I129" s="53"/>
      <c r="J129" s="33"/>
      <c r="K129" s="53"/>
    </row>
    <row r="130">
      <c r="A130" s="33" t="inlineStr">
        <is>
          <t>44</t>
        </is>
      </c>
      <c r="B130" s="32" t="inlineStr">
        <is>
          <t>Aguja Superior de Lézat</t>
        </is>
      </c>
      <c r="C130" s="52" t="n">
        <v>3069</v>
      </c>
      <c r="D130" s="53" t="inlineStr">
        <is>
          <t>Z8 · Clarabide-Perdiguero</t>
        </is>
      </c>
      <c r="E130" s="33" t="inlineStr">
        <is>
          <t>Secundari</t>
        </is>
      </c>
      <c r="F130" s="33" t="inlineStr">
        <is>
          <t>No</t>
        </is>
      </c>
      <c r="G130" s="33"/>
      <c r="H130" s="54"/>
      <c r="I130" s="53"/>
      <c r="J130" s="33"/>
      <c r="K130" s="53"/>
    </row>
    <row r="131">
      <c r="A131" s="33" t="inlineStr">
        <is>
          <t>084</t>
        </is>
      </c>
      <c r="B131" s="32" t="inlineStr">
        <is>
          <t>Pico Jean Arlaud</t>
        </is>
      </c>
      <c r="C131" s="52" t="n">
        <v>3065</v>
      </c>
      <c r="D131" s="53" t="inlineStr">
        <is>
          <t>Z8 · Clarabide-Perdiguero</t>
        </is>
      </c>
      <c r="E131" s="33" t="inlineStr">
        <is>
          <t>Principal</t>
        </is>
      </c>
      <c r="F131" s="33" t="inlineStr">
        <is>
          <t>No</t>
        </is>
      </c>
      <c r="G131" s="33"/>
      <c r="H131" s="54"/>
      <c r="I131" s="53"/>
      <c r="J131" s="33"/>
      <c r="K131" s="53"/>
    </row>
    <row r="132">
      <c r="A132" s="33" t="inlineStr">
        <is>
          <t>086</t>
        </is>
      </c>
      <c r="B132" s="32" t="inlineStr">
        <is>
          <t>Espijeoles</t>
        </is>
      </c>
      <c r="C132" s="52" t="n">
        <v>3065</v>
      </c>
      <c r="D132" s="53" t="inlineStr">
        <is>
          <t>Z8 · Clarabide-Perdiguero</t>
        </is>
      </c>
      <c r="E132" s="33" t="inlineStr">
        <is>
          <t>Principal</t>
        </is>
      </c>
      <c r="F132" s="33" t="inlineStr">
        <is>
          <t>No</t>
        </is>
      </c>
      <c r="G132" s="33"/>
      <c r="H132" s="54"/>
      <c r="I132" s="53"/>
      <c r="J132" s="33"/>
      <c r="K132" s="53"/>
    </row>
    <row r="133">
      <c r="A133" s="33" t="inlineStr">
        <is>
          <t>091</t>
        </is>
      </c>
      <c r="B133" s="32" t="inlineStr">
        <is>
          <t>Gran Quayrat</t>
        </is>
      </c>
      <c r="C133" s="52" t="n">
        <v>3060</v>
      </c>
      <c r="D133" s="53" t="inlineStr">
        <is>
          <t>Z8 · Clarabide-Perdiguero</t>
        </is>
      </c>
      <c r="E133" s="33" t="inlineStr">
        <is>
          <t>Principal</t>
        </is>
      </c>
      <c r="F133" s="33" t="inlineStr">
        <is>
          <t>No</t>
        </is>
      </c>
      <c r="G133" s="33"/>
      <c r="H133" s="54"/>
      <c r="I133" s="53"/>
      <c r="J133" s="33"/>
      <c r="K133" s="53"/>
    </row>
    <row r="134">
      <c r="A134" s="33" t="inlineStr">
        <is>
          <t>45</t>
        </is>
      </c>
      <c r="B134" s="32" t="inlineStr">
        <is>
          <t>Aguja Central NW de Lézat</t>
        </is>
      </c>
      <c r="C134" s="52" t="n">
        <v>3058</v>
      </c>
      <c r="D134" s="53" t="inlineStr">
        <is>
          <t>Z8 · Clarabide-Perdiguero</t>
        </is>
      </c>
      <c r="E134" s="33" t="inlineStr">
        <is>
          <t>Secundari</t>
        </is>
      </c>
      <c r="F134" s="33" t="inlineStr">
        <is>
          <t>No</t>
        </is>
      </c>
      <c r="G134" s="33"/>
      <c r="H134" s="54"/>
      <c r="I134" s="53"/>
      <c r="J134" s="33"/>
      <c r="K134" s="53"/>
    </row>
    <row r="135">
      <c r="A135" s="33" t="inlineStr">
        <is>
          <t>089</t>
        </is>
      </c>
      <c r="B135" s="32" t="inlineStr">
        <is>
          <t>Pico Portillón de Oô</t>
        </is>
      </c>
      <c r="C135" s="52" t="n">
        <v>3050</v>
      </c>
      <c r="D135" s="53" t="inlineStr">
        <is>
          <t>Z8 · Clarabide-Perdiguero</t>
        </is>
      </c>
      <c r="E135" s="33" t="inlineStr">
        <is>
          <t>Principal</t>
        </is>
      </c>
      <c r="F135" s="33" t="inlineStr">
        <is>
          <t>No</t>
        </is>
      </c>
      <c r="G135" s="33"/>
      <c r="H135" s="54"/>
      <c r="I135" s="53"/>
      <c r="J135" s="33"/>
      <c r="K135" s="53"/>
    </row>
    <row r="136">
      <c r="A136" s="33" t="inlineStr">
        <is>
          <t>49</t>
        </is>
      </c>
      <c r="B136" s="32" t="inlineStr">
        <is>
          <t>Punta Mamy</t>
        </is>
      </c>
      <c r="C136" s="52" t="n">
        <v>3048</v>
      </c>
      <c r="D136" s="53" t="inlineStr">
        <is>
          <t>Z8 · Clarabide-Perdiguero</t>
        </is>
      </c>
      <c r="E136" s="33" t="inlineStr">
        <is>
          <t>Secundari</t>
        </is>
      </c>
      <c r="F136" s="33" t="inlineStr">
        <is>
          <t>No</t>
        </is>
      </c>
      <c r="G136" s="33"/>
      <c r="H136" s="54"/>
      <c r="I136" s="53"/>
      <c r="J136" s="33"/>
      <c r="K136" s="53"/>
    </row>
    <row r="137">
      <c r="A137" s="33" t="inlineStr">
        <is>
          <t>38</t>
        </is>
      </c>
      <c r="B137" s="32" t="inlineStr">
        <is>
          <t>Pico Audoubert</t>
        </is>
      </c>
      <c r="C137" s="52" t="n">
        <v>3045</v>
      </c>
      <c r="D137" s="53" t="inlineStr">
        <is>
          <t>Z8 · Clarabide-Perdiguero</t>
        </is>
      </c>
      <c r="E137" s="33" t="inlineStr">
        <is>
          <t>Secundari</t>
        </is>
      </c>
      <c r="F137" s="33" t="inlineStr">
        <is>
          <t>No</t>
        </is>
      </c>
      <c r="G137" s="33"/>
      <c r="H137" s="54"/>
      <c r="I137" s="53"/>
      <c r="J137" s="33"/>
      <c r="K137" s="53"/>
    </row>
    <row r="138">
      <c r="A138" s="33" t="inlineStr">
        <is>
          <t>54</t>
        </is>
      </c>
      <c r="B138" s="32" t="inlineStr">
        <is>
          <t>Pico Rabadá</t>
        </is>
      </c>
      <c r="C138" s="52" t="n">
        <v>3045</v>
      </c>
      <c r="D138" s="53" t="inlineStr">
        <is>
          <t>Z8 · Clarabide-Perdiguero</t>
        </is>
      </c>
      <c r="E138" s="33" t="inlineStr">
        <is>
          <t>Secundari</t>
        </is>
      </c>
      <c r="F138" s="33" t="inlineStr">
        <is>
          <t>No</t>
        </is>
      </c>
      <c r="G138" s="33"/>
      <c r="H138" s="54"/>
      <c r="I138" s="53"/>
      <c r="J138" s="33"/>
      <c r="K138" s="53"/>
    </row>
    <row r="139">
      <c r="A139" s="33" t="inlineStr">
        <is>
          <t>082</t>
        </is>
      </c>
      <c r="B139" s="32" t="inlineStr">
        <is>
          <t>Pico Camboué</t>
        </is>
      </c>
      <c r="C139" s="52" t="n">
        <v>3043</v>
      </c>
      <c r="D139" s="53" t="inlineStr">
        <is>
          <t>Z8 · Clarabide-Perdiguero</t>
        </is>
      </c>
      <c r="E139" s="33" t="inlineStr">
        <is>
          <t>Principal</t>
        </is>
      </c>
      <c r="F139" s="33" t="inlineStr">
        <is>
          <t>No</t>
        </is>
      </c>
      <c r="G139" s="33"/>
      <c r="H139" s="54"/>
      <c r="I139" s="53"/>
      <c r="J139" s="33"/>
      <c r="K139" s="53"/>
    </row>
    <row r="140">
      <c r="A140" s="33" t="inlineStr">
        <is>
          <t>55</t>
        </is>
      </c>
      <c r="B140" s="32" t="inlineStr">
        <is>
          <t>Pico Navarro</t>
        </is>
      </c>
      <c r="C140" s="52" t="n">
        <v>3043</v>
      </c>
      <c r="D140" s="53" t="inlineStr">
        <is>
          <t>Z8 · Clarabide-Perdiguero</t>
        </is>
      </c>
      <c r="E140" s="33" t="inlineStr">
        <is>
          <t>Secundari</t>
        </is>
      </c>
      <c r="F140" s="33" t="inlineStr">
        <is>
          <t>No</t>
        </is>
      </c>
      <c r="G140" s="33"/>
      <c r="H140" s="54"/>
      <c r="I140" s="53"/>
      <c r="J140" s="33"/>
      <c r="K140" s="53"/>
    </row>
    <row r="141">
      <c r="A141" s="33" t="inlineStr">
        <is>
          <t>53</t>
        </is>
      </c>
      <c r="B141" s="32" t="inlineStr">
        <is>
          <t>Tusse de Remuñe</t>
        </is>
      </c>
      <c r="C141" s="52" t="n">
        <v>3041</v>
      </c>
      <c r="D141" s="53" t="inlineStr">
        <is>
          <t>Z8 · Clarabide-Perdiguero</t>
        </is>
      </c>
      <c r="E141" s="33" t="inlineStr">
        <is>
          <t>Secundari</t>
        </is>
      </c>
      <c r="F141" s="33" t="inlineStr">
        <is>
          <t>No</t>
        </is>
      </c>
      <c r="G141" s="33"/>
      <c r="H141" s="54"/>
      <c r="I141" s="53"/>
      <c r="J141" s="33"/>
      <c r="K141" s="53"/>
    </row>
    <row r="142">
      <c r="A142" s="33" t="inlineStr">
        <is>
          <t>46</t>
        </is>
      </c>
      <c r="B142" s="32" t="inlineStr">
        <is>
          <t>Aguja Central SE de Lézat</t>
        </is>
      </c>
      <c r="C142" s="52" t="n">
        <v>3037</v>
      </c>
      <c r="D142" s="53" t="inlineStr">
        <is>
          <t>Z8 · Clarabide-Perdiguero</t>
        </is>
      </c>
      <c r="E142" s="33" t="inlineStr">
        <is>
          <t>Secundari</t>
        </is>
      </c>
      <c r="F142" s="33" t="inlineStr">
        <is>
          <t>No</t>
        </is>
      </c>
      <c r="G142" s="33"/>
      <c r="H142" s="54"/>
      <c r="I142" s="53"/>
      <c r="J142" s="33"/>
      <c r="K142" s="53"/>
    </row>
    <row r="143">
      <c r="A143" s="33" t="inlineStr">
        <is>
          <t>087</t>
        </is>
      </c>
      <c r="B143" s="32" t="inlineStr">
        <is>
          <t>Pico Gourdon</t>
        </is>
      </c>
      <c r="C143" s="52" t="n">
        <v>3034</v>
      </c>
      <c r="D143" s="53" t="inlineStr">
        <is>
          <t>Z8 · Clarabide-Perdiguero</t>
        </is>
      </c>
      <c r="E143" s="33" t="inlineStr">
        <is>
          <t>Principal</t>
        </is>
      </c>
      <c r="F143" s="33" t="inlineStr">
        <is>
          <t>No</t>
        </is>
      </c>
      <c r="G143" s="33"/>
      <c r="H143" s="54"/>
      <c r="I143" s="53"/>
      <c r="J143" s="33"/>
      <c r="K143" s="53"/>
    </row>
    <row r="144">
      <c r="A144" s="33" t="inlineStr">
        <is>
          <t>50</t>
        </is>
      </c>
      <c r="B144" s="32" t="inlineStr">
        <is>
          <t>Aguja de Lliterola</t>
        </is>
      </c>
      <c r="C144" s="52" t="n">
        <v>3028</v>
      </c>
      <c r="D144" s="53" t="inlineStr">
        <is>
          <t>Z8 · Clarabide-Perdiguero</t>
        </is>
      </c>
      <c r="E144" s="33" t="inlineStr">
        <is>
          <t>Secundari</t>
        </is>
      </c>
      <c r="F144" s="33" t="inlineStr">
        <is>
          <t>No</t>
        </is>
      </c>
      <c r="G144" s="33"/>
      <c r="H144" s="54"/>
      <c r="I144" s="53"/>
      <c r="J144" s="33"/>
      <c r="K144" s="53"/>
    </row>
    <row r="145">
      <c r="A145" s="33" t="inlineStr">
        <is>
          <t>52</t>
        </is>
      </c>
      <c r="B145" s="32" t="inlineStr">
        <is>
          <t>Aguja Jean Garnier</t>
        </is>
      </c>
      <c r="C145" s="52" t="n">
        <v>3025</v>
      </c>
      <c r="D145" s="53" t="inlineStr">
        <is>
          <t>Z8 · Clarabide-Perdiguero</t>
        </is>
      </c>
      <c r="E145" s="33" t="inlineStr">
        <is>
          <t>Secundari</t>
        </is>
      </c>
      <c r="F145" s="33" t="inlineStr">
        <is>
          <t>No</t>
        </is>
      </c>
      <c r="G145" s="33"/>
      <c r="H145" s="54"/>
      <c r="I145" s="53"/>
      <c r="J145" s="33"/>
      <c r="K145" s="53"/>
    </row>
    <row r="146">
      <c r="A146" s="33" t="inlineStr">
        <is>
          <t>47</t>
        </is>
      </c>
      <c r="B146" s="32" t="inlineStr">
        <is>
          <t>Aguja Inferior de Lézat</t>
        </is>
      </c>
      <c r="C146" s="52" t="n">
        <v>3023</v>
      </c>
      <c r="D146" s="53" t="inlineStr">
        <is>
          <t>Z8 · Clarabide-Perdiguero</t>
        </is>
      </c>
      <c r="E146" s="33" t="inlineStr">
        <is>
          <t>Secundari</t>
        </is>
      </c>
      <c r="F146" s="33" t="inlineStr">
        <is>
          <t>No</t>
        </is>
      </c>
      <c r="G146" s="33"/>
      <c r="H146" s="54"/>
      <c r="I146" s="53"/>
      <c r="J146" s="33"/>
      <c r="K146" s="53"/>
    </row>
    <row r="147">
      <c r="A147" s="33" t="inlineStr">
        <is>
          <t>079</t>
        </is>
      </c>
      <c r="B147" s="32" t="inlineStr">
        <is>
          <t>Pico de Clarabide</t>
        </is>
      </c>
      <c r="C147" s="52" t="n">
        <v>3020</v>
      </c>
      <c r="D147" s="53" t="inlineStr">
        <is>
          <t>Z8 · Clarabide-Perdiguero</t>
        </is>
      </c>
      <c r="E147" s="33" t="inlineStr">
        <is>
          <t>Principal</t>
        </is>
      </c>
      <c r="F147" s="33" t="inlineStr">
        <is>
          <t>No</t>
        </is>
      </c>
      <c r="G147" s="33"/>
      <c r="H147" s="54"/>
      <c r="I147" s="53"/>
      <c r="J147" s="33"/>
      <c r="K147" s="53"/>
    </row>
    <row r="148">
      <c r="A148" s="33" t="inlineStr">
        <is>
          <t>33</t>
        </is>
      </c>
      <c r="B148" s="32" t="inlineStr">
        <is>
          <t>Clarabide Oriental</t>
        </is>
      </c>
      <c r="C148" s="52" t="n">
        <v>3012</v>
      </c>
      <c r="D148" s="53" t="inlineStr">
        <is>
          <t>Z8 · Clarabide-Perdiguero</t>
        </is>
      </c>
      <c r="E148" s="33" t="inlineStr">
        <is>
          <t>Secundari</t>
        </is>
      </c>
      <c r="F148" s="33" t="inlineStr">
        <is>
          <t>No</t>
        </is>
      </c>
      <c r="G148" s="33"/>
      <c r="H148" s="54"/>
      <c r="I148" s="53"/>
      <c r="J148" s="33"/>
      <c r="K148" s="53"/>
    </row>
    <row r="149">
      <c r="A149" s="33" t="inlineStr">
        <is>
          <t>080</t>
        </is>
      </c>
      <c r="B149" s="32" t="inlineStr">
        <is>
          <t>Pico de Gías</t>
        </is>
      </c>
      <c r="C149" s="52" t="n">
        <v>3011</v>
      </c>
      <c r="D149" s="53" t="inlineStr">
        <is>
          <t>Z8 · Clarabide-Perdiguero</t>
        </is>
      </c>
      <c r="E149" s="33" t="inlineStr">
        <is>
          <t>Principal</t>
        </is>
      </c>
      <c r="F149" s="33" t="inlineStr">
        <is>
          <t>No</t>
        </is>
      </c>
      <c r="G149" s="33"/>
      <c r="H149" s="54"/>
      <c r="I149" s="53"/>
      <c r="J149" s="33"/>
      <c r="K149" s="53"/>
    </row>
    <row r="150">
      <c r="A150" s="33" t="inlineStr">
        <is>
          <t>48</t>
        </is>
      </c>
      <c r="B150" s="32" t="inlineStr">
        <is>
          <t>Punta Lacq</t>
        </is>
      </c>
      <c r="C150" s="52" t="n">
        <v>3010</v>
      </c>
      <c r="D150" s="53" t="inlineStr">
        <is>
          <t>Z8 · Clarabide-Perdiguero</t>
        </is>
      </c>
      <c r="E150" s="33" t="inlineStr">
        <is>
          <t>Secundari</t>
        </is>
      </c>
      <c r="F150" s="33" t="inlineStr">
        <is>
          <t>No</t>
        </is>
      </c>
      <c r="G150" s="33"/>
      <c r="H150" s="54"/>
      <c r="I150" s="53"/>
      <c r="J150" s="33"/>
      <c r="K150" s="53"/>
    </row>
    <row r="151">
      <c r="A151" s="33" t="inlineStr">
        <is>
          <t>32</t>
        </is>
      </c>
      <c r="B151" s="32" t="inlineStr">
        <is>
          <t>Pico Occidental de Clarabide</t>
        </is>
      </c>
      <c r="C151" s="52" t="n">
        <v>3008</v>
      </c>
      <c r="D151" s="53" t="inlineStr">
        <is>
          <t>Z8 · Clarabide-Perdiguero</t>
        </is>
      </c>
      <c r="E151" s="33" t="inlineStr">
        <is>
          <t>Secundari</t>
        </is>
      </c>
      <c r="F151" s="33" t="inlineStr">
        <is>
          <t>No</t>
        </is>
      </c>
      <c r="G151" s="33"/>
      <c r="H151" s="54"/>
      <c r="I151" s="53"/>
      <c r="J151" s="33"/>
      <c r="K151" s="53"/>
    </row>
    <row r="152">
      <c r="A152" s="33" t="inlineStr">
        <is>
          <t>085</t>
        </is>
      </c>
      <c r="B152" s="32" t="inlineStr">
        <is>
          <t>Pico Belloc</t>
        </is>
      </c>
      <c r="C152" s="52" t="n">
        <v>3008</v>
      </c>
      <c r="D152" s="53" t="inlineStr">
        <is>
          <t>Z8 · Clarabide-Perdiguero</t>
        </is>
      </c>
      <c r="E152" s="33" t="inlineStr">
        <is>
          <t>Principal</t>
        </is>
      </c>
      <c r="F152" s="33" t="inlineStr">
        <is>
          <t>No</t>
        </is>
      </c>
      <c r="G152" s="33"/>
      <c r="H152" s="54"/>
      <c r="I152" s="53"/>
      <c r="J152" s="33"/>
      <c r="K152" s="53"/>
    </row>
    <row r="153">
      <c r="A153" s="33" t="inlineStr">
        <is>
          <t>37</t>
        </is>
      </c>
      <c r="B153" s="32" t="inlineStr">
        <is>
          <t>Belloc S</t>
        </is>
      </c>
      <c r="C153" s="52" t="n">
        <v>3007</v>
      </c>
      <c r="D153" s="53" t="inlineStr">
        <is>
          <t>Z8 · Clarabide-Perdiguero</t>
        </is>
      </c>
      <c r="E153" s="33" t="inlineStr">
        <is>
          <t>Secundari</t>
        </is>
      </c>
      <c r="F153" s="33" t="inlineStr">
        <is>
          <t>No</t>
        </is>
      </c>
      <c r="G153" s="33"/>
      <c r="H153" s="54"/>
      <c r="I153" s="53"/>
      <c r="J153" s="33"/>
      <c r="K153" s="53"/>
    </row>
    <row r="154">
      <c r="A154" s="33" t="inlineStr">
        <is>
          <t>36</t>
        </is>
      </c>
      <c r="B154" s="32" t="inlineStr">
        <is>
          <t>Belloc Central</t>
        </is>
      </c>
      <c r="C154" s="52" t="n">
        <v>3006</v>
      </c>
      <c r="D154" s="53" t="inlineStr">
        <is>
          <t>Z8 · Clarabide-Perdiguero</t>
        </is>
      </c>
      <c r="E154" s="33" t="inlineStr">
        <is>
          <t>Secundari</t>
        </is>
      </c>
      <c r="F154" s="33" t="inlineStr">
        <is>
          <t>No</t>
        </is>
      </c>
      <c r="G154" s="33"/>
      <c r="H154" s="54"/>
      <c r="I154" s="53"/>
      <c r="J154" s="33"/>
      <c r="K154" s="53"/>
    </row>
    <row r="155">
      <c r="A155" s="33" t="inlineStr">
        <is>
          <t>098</t>
        </is>
      </c>
      <c r="B155" s="32" t="inlineStr">
        <is>
          <t>Pico de Boum</t>
        </is>
      </c>
      <c r="C155" s="52" t="n">
        <v>3006</v>
      </c>
      <c r="D155" s="53" t="inlineStr">
        <is>
          <t>Z8 · Clarabide-Perdiguero</t>
        </is>
      </c>
      <c r="E155" s="33" t="inlineStr">
        <is>
          <t>Principal</t>
        </is>
      </c>
      <c r="F155" s="33" t="inlineStr">
        <is>
          <t>No</t>
        </is>
      </c>
      <c r="G155" s="33"/>
      <c r="H155" s="54"/>
      <c r="I155" s="53"/>
      <c r="J155" s="33"/>
      <c r="K155" s="53"/>
    </row>
    <row r="156">
      <c r="A156" s="33" t="inlineStr">
        <is>
          <t>081</t>
        </is>
      </c>
      <c r="B156" s="32" t="inlineStr">
        <is>
          <t>Pico Saint-Saud</t>
        </is>
      </c>
      <c r="C156" s="52" t="n">
        <v>3003</v>
      </c>
      <c r="D156" s="53" t="inlineStr">
        <is>
          <t>Z8 · Clarabide-Perdiguero</t>
        </is>
      </c>
      <c r="E156" s="33" t="inlineStr">
        <is>
          <t>Principal</t>
        </is>
      </c>
      <c r="F156" s="33" t="inlineStr">
        <is>
          <t>No</t>
        </is>
      </c>
      <c r="G156" s="33"/>
      <c r="H156" s="54"/>
      <c r="I156" s="53"/>
      <c r="J156" s="33"/>
      <c r="K156" s="53"/>
    </row>
    <row r="157">
      <c r="A157" s="33" t="inlineStr">
        <is>
          <t>41</t>
        </is>
      </c>
      <c r="B157" s="32" t="inlineStr">
        <is>
          <t>Pequeño Pico Portillón</t>
        </is>
      </c>
      <c r="C157" s="52" t="n">
        <v>3000</v>
      </c>
      <c r="D157" s="53" t="inlineStr">
        <is>
          <t>Z8 · Clarabide-Perdiguero</t>
        </is>
      </c>
      <c r="E157" s="33" t="inlineStr">
        <is>
          <t>Secundari</t>
        </is>
      </c>
      <c r="F157" s="33" t="inlineStr">
        <is>
          <t>No</t>
        </is>
      </c>
      <c r="G157" s="33"/>
      <c r="H157" s="54"/>
      <c r="I157" s="53"/>
      <c r="J157" s="33"/>
      <c r="K157" s="53"/>
    </row>
    <row r="158">
      <c r="A158" s="33" t="inlineStr">
        <is>
          <t>111</t>
        </is>
      </c>
      <c r="B158" s="32" t="inlineStr">
        <is>
          <t>Aneto</t>
        </is>
      </c>
      <c r="C158" s="52" t="n">
        <v>3404</v>
      </c>
      <c r="D158" s="53" t="inlineStr">
        <is>
          <t>Z9 · Maladeta-Aneto</t>
        </is>
      </c>
      <c r="E158" s="33" t="inlineStr">
        <is>
          <t>Principal</t>
        </is>
      </c>
      <c r="F158" s="33" t="inlineStr">
        <is>
          <t>No</t>
        </is>
      </c>
      <c r="G158" s="33"/>
      <c r="H158" s="54"/>
      <c r="I158" s="53"/>
      <c r="J158" s="33"/>
      <c r="K158" s="53"/>
    </row>
    <row r="159">
      <c r="A159" s="33" t="inlineStr">
        <is>
          <t>108</t>
        </is>
      </c>
      <c r="B159" s="32" t="inlineStr">
        <is>
          <t>Punta d'Astorg</t>
        </is>
      </c>
      <c r="C159" s="52" t="n">
        <v>3355</v>
      </c>
      <c r="D159" s="53" t="inlineStr">
        <is>
          <t>Z9 · Maladeta-Aneto</t>
        </is>
      </c>
      <c r="E159" s="33" t="inlineStr">
        <is>
          <t>Principal</t>
        </is>
      </c>
      <c r="F159" s="33" t="inlineStr">
        <is>
          <t>No</t>
        </is>
      </c>
      <c r="G159" s="33"/>
      <c r="H159" s="54"/>
      <c r="I159" s="53"/>
      <c r="J159" s="33"/>
      <c r="K159" s="53"/>
    </row>
    <row r="160">
      <c r="A160" s="33" t="inlineStr">
        <is>
          <t>106</t>
        </is>
      </c>
      <c r="B160" s="32" t="inlineStr">
        <is>
          <t>Pico Maldito</t>
        </is>
      </c>
      <c r="C160" s="52" t="n">
        <v>3350</v>
      </c>
      <c r="D160" s="53" t="inlineStr">
        <is>
          <t>Z9 · Maladeta-Aneto</t>
        </is>
      </c>
      <c r="E160" s="33" t="inlineStr">
        <is>
          <t>Principal</t>
        </is>
      </c>
      <c r="F160" s="33" t="inlineStr">
        <is>
          <t>No</t>
        </is>
      </c>
      <c r="G160" s="33"/>
      <c r="H160" s="54"/>
      <c r="I160" s="53"/>
      <c r="J160" s="33"/>
      <c r="K160" s="53"/>
    </row>
    <row r="161">
      <c r="A161" s="33" t="inlineStr">
        <is>
          <t>67</t>
        </is>
      </c>
      <c r="B161" s="32" t="inlineStr">
        <is>
          <t>Aguja Daviu</t>
        </is>
      </c>
      <c r="C161" s="52" t="n">
        <v>3350</v>
      </c>
      <c r="D161" s="53" t="inlineStr">
        <is>
          <t>Z9 · Maladeta-Aneto</t>
        </is>
      </c>
      <c r="E161" s="33" t="inlineStr">
        <is>
          <t>Secundari</t>
        </is>
      </c>
      <c r="F161" s="33" t="inlineStr">
        <is>
          <t>No</t>
        </is>
      </c>
      <c r="G161" s="33"/>
      <c r="H161" s="54"/>
      <c r="I161" s="53"/>
      <c r="J161" s="33"/>
      <c r="K161" s="53"/>
    </row>
    <row r="162">
      <c r="A162" s="33" t="inlineStr">
        <is>
          <t>112</t>
        </is>
      </c>
      <c r="B162" s="32" t="inlineStr">
        <is>
          <t>Espalda de Aneto</t>
        </is>
      </c>
      <c r="C162" s="52" t="n">
        <v>3350</v>
      </c>
      <c r="D162" s="53" t="inlineStr">
        <is>
          <t>Z9 · Maladeta-Aneto</t>
        </is>
      </c>
      <c r="E162" s="33" t="inlineStr">
        <is>
          <t>Principal</t>
        </is>
      </c>
      <c r="F162" s="33" t="inlineStr">
        <is>
          <t>No</t>
        </is>
      </c>
      <c r="G162" s="33"/>
      <c r="H162" s="54"/>
      <c r="I162" s="53"/>
      <c r="J162" s="33"/>
      <c r="K162" s="53"/>
    </row>
    <row r="163">
      <c r="A163" s="33" t="inlineStr">
        <is>
          <t>109</t>
        </is>
      </c>
      <c r="B163" s="32" t="inlineStr">
        <is>
          <t>Pico del Medio</t>
        </is>
      </c>
      <c r="C163" s="52" t="n">
        <v>3346</v>
      </c>
      <c r="D163" s="53" t="inlineStr">
        <is>
          <t>Z9 · Maladeta-Aneto</t>
        </is>
      </c>
      <c r="E163" s="33" t="inlineStr">
        <is>
          <t>Principal</t>
        </is>
      </c>
      <c r="F163" s="33" t="inlineStr">
        <is>
          <t>No</t>
        </is>
      </c>
      <c r="G163" s="33"/>
      <c r="H163" s="54"/>
      <c r="I163" s="53"/>
      <c r="J163" s="33"/>
      <c r="K163" s="53"/>
    </row>
    <row r="164">
      <c r="A164" s="33" t="inlineStr">
        <is>
          <t>61</t>
        </is>
      </c>
      <c r="B164" s="32" t="inlineStr">
        <is>
          <t>Gendarme Schmidt-Endell</t>
        </is>
      </c>
      <c r="C164" s="52" t="n">
        <v>3335</v>
      </c>
      <c r="D164" s="53" t="inlineStr">
        <is>
          <t>Z9 · Maladeta-Aneto</t>
        </is>
      </c>
      <c r="E164" s="33" t="inlineStr">
        <is>
          <t>Secundari</t>
        </is>
      </c>
      <c r="F164" s="33" t="inlineStr">
        <is>
          <t>No</t>
        </is>
      </c>
      <c r="G164" s="33"/>
      <c r="H164" s="54"/>
      <c r="I164" s="53"/>
      <c r="J164" s="33"/>
      <c r="K164" s="53"/>
    </row>
    <row r="165">
      <c r="A165" s="33" t="inlineStr">
        <is>
          <t>68</t>
        </is>
      </c>
      <c r="B165" s="32" t="inlineStr">
        <is>
          <t>Aguja Escudier</t>
        </is>
      </c>
      <c r="C165" s="52" t="n">
        <v>3315</v>
      </c>
      <c r="D165" s="53" t="inlineStr">
        <is>
          <t>Z9 · Maladeta-Aneto</t>
        </is>
      </c>
      <c r="E165" s="33" t="inlineStr">
        <is>
          <t>Secundari</t>
        </is>
      </c>
      <c r="F165" s="33" t="inlineStr">
        <is>
          <t>No</t>
        </is>
      </c>
      <c r="G165" s="33"/>
      <c r="H165" s="54"/>
      <c r="I165" s="53"/>
      <c r="J165" s="33"/>
      <c r="K165" s="53"/>
    </row>
    <row r="166">
      <c r="A166" s="33" t="inlineStr">
        <is>
          <t>105</t>
        </is>
      </c>
      <c r="B166" s="32" t="inlineStr">
        <is>
          <t>La Maladeta</t>
        </is>
      </c>
      <c r="C166" s="52" t="n">
        <v>3308</v>
      </c>
      <c r="D166" s="53" t="inlineStr">
        <is>
          <t>Z9 · Maladeta-Aneto</t>
        </is>
      </c>
      <c r="E166" s="33" t="inlineStr">
        <is>
          <t>Principal</t>
        </is>
      </c>
      <c r="F166" s="33" t="inlineStr">
        <is>
          <t>No</t>
        </is>
      </c>
      <c r="G166" s="33"/>
      <c r="H166" s="54"/>
      <c r="I166" s="53"/>
      <c r="J166" s="33"/>
      <c r="K166" s="53"/>
    </row>
    <row r="167">
      <c r="A167" s="33" t="inlineStr">
        <is>
          <t>66</t>
        </is>
      </c>
      <c r="B167" s="32" t="inlineStr">
        <is>
          <t>Punta Oliveras-Arenas</t>
        </is>
      </c>
      <c r="C167" s="52" t="n">
        <v>3298</v>
      </c>
      <c r="D167" s="53" t="inlineStr">
        <is>
          <t>Z9 · Maladeta-Aneto</t>
        </is>
      </c>
      <c r="E167" s="33" t="inlineStr">
        <is>
          <t>Secundari</t>
        </is>
      </c>
      <c r="F167" s="33" t="inlineStr">
        <is>
          <t>No</t>
        </is>
      </c>
      <c r="G167" s="33"/>
      <c r="H167" s="54"/>
      <c r="I167" s="53"/>
      <c r="J167" s="33"/>
      <c r="K167" s="53"/>
    </row>
    <row r="168">
      <c r="A168" s="33" t="inlineStr">
        <is>
          <t>110</t>
        </is>
      </c>
      <c r="B168" s="32" t="inlineStr">
        <is>
          <t>Pico Coronas</t>
        </is>
      </c>
      <c r="C168" s="52" t="n">
        <v>3293</v>
      </c>
      <c r="D168" s="53" t="inlineStr">
        <is>
          <t>Z9 · Maladeta-Aneto</t>
        </is>
      </c>
      <c r="E168" s="33" t="inlineStr">
        <is>
          <t>Principal</t>
        </is>
      </c>
      <c r="F168" s="33" t="inlineStr">
        <is>
          <t>No</t>
        </is>
      </c>
      <c r="G168" s="33"/>
      <c r="H168" s="54"/>
      <c r="I168" s="53"/>
      <c r="J168" s="33"/>
      <c r="K168" s="53"/>
    </row>
    <row r="169">
      <c r="A169" s="33" t="inlineStr">
        <is>
          <t>113</t>
        </is>
      </c>
      <c r="B169" s="32" t="inlineStr">
        <is>
          <t>Pico de Tempestades</t>
        </is>
      </c>
      <c r="C169" s="52" t="n">
        <v>3290</v>
      </c>
      <c r="D169" s="53" t="inlineStr">
        <is>
          <t>Z9 · Maladeta-Aneto</t>
        </is>
      </c>
      <c r="E169" s="33" t="inlineStr">
        <is>
          <t>Principal</t>
        </is>
      </c>
      <c r="F169" s="33" t="inlineStr">
        <is>
          <t>No</t>
        </is>
      </c>
      <c r="G169" s="33"/>
      <c r="H169" s="54"/>
      <c r="I169" s="53"/>
      <c r="J169" s="33"/>
      <c r="K169" s="53"/>
    </row>
    <row r="170">
      <c r="A170" s="33" t="inlineStr">
        <is>
          <t>65</t>
        </is>
      </c>
      <c r="B170" s="32" t="inlineStr">
        <is>
          <t>Tuca del Collado de Coronas</t>
        </is>
      </c>
      <c r="C170" s="52" t="n">
        <v>3286</v>
      </c>
      <c r="D170" s="53" t="inlineStr">
        <is>
          <t>Z9 · Maladeta-Aneto</t>
        </is>
      </c>
      <c r="E170" s="33" t="inlineStr">
        <is>
          <t>Secundari</t>
        </is>
      </c>
      <c r="F170" s="33" t="inlineStr">
        <is>
          <t>No</t>
        </is>
      </c>
      <c r="G170" s="33"/>
      <c r="H170" s="54"/>
      <c r="I170" s="53"/>
      <c r="J170" s="33"/>
      <c r="K170" s="53"/>
    </row>
    <row r="171">
      <c r="A171" s="33" t="inlineStr">
        <is>
          <t>60</t>
        </is>
      </c>
      <c r="B171" s="32" t="inlineStr">
        <is>
          <t>Pico Abadías</t>
        </is>
      </c>
      <c r="C171" s="52" t="n">
        <v>3279</v>
      </c>
      <c r="D171" s="53" t="inlineStr">
        <is>
          <t>Z9 · Maladeta-Aneto</t>
        </is>
      </c>
      <c r="E171" s="33" t="inlineStr">
        <is>
          <t>Secundari</t>
        </is>
      </c>
      <c r="F171" s="33" t="inlineStr">
        <is>
          <t>No</t>
        </is>
      </c>
      <c r="G171" s="33"/>
      <c r="H171" s="54"/>
      <c r="I171" s="53"/>
      <c r="J171" s="33"/>
      <c r="K171" s="53"/>
    </row>
    <row r="172">
      <c r="A172" s="33" t="inlineStr">
        <is>
          <t>72</t>
        </is>
      </c>
      <c r="B172" s="32" t="inlineStr">
        <is>
          <t>Punta Brecha Tempestades</t>
        </is>
      </c>
      <c r="C172" s="52" t="n">
        <v>3274</v>
      </c>
      <c r="D172" s="53" t="inlineStr">
        <is>
          <t>Z9 · Maladeta-Aneto</t>
        </is>
      </c>
      <c r="E172" s="33" t="inlineStr">
        <is>
          <t>Secundari</t>
        </is>
      </c>
      <c r="F172" s="33" t="inlineStr">
        <is>
          <t>No</t>
        </is>
      </c>
      <c r="G172" s="33"/>
      <c r="H172" s="54"/>
      <c r="I172" s="53"/>
      <c r="J172" s="33"/>
      <c r="K172" s="53"/>
    </row>
    <row r="173">
      <c r="A173" s="33" t="inlineStr">
        <is>
          <t>59</t>
        </is>
      </c>
      <c r="B173" s="32" t="inlineStr">
        <is>
          <t>Pico Collado de la Rimaya</t>
        </is>
      </c>
      <c r="C173" s="52" t="n">
        <v>3265</v>
      </c>
      <c r="D173" s="53" t="inlineStr">
        <is>
          <t>Z9 · Maladeta-Aneto</t>
        </is>
      </c>
      <c r="E173" s="33" t="inlineStr">
        <is>
          <t>Secundari</t>
        </is>
      </c>
      <c r="F173" s="33" t="inlineStr">
        <is>
          <t>No</t>
        </is>
      </c>
      <c r="G173" s="33"/>
      <c r="H173" s="54"/>
      <c r="I173" s="53"/>
      <c r="J173" s="33"/>
      <c r="K173" s="53"/>
    </row>
    <row r="174">
      <c r="A174" s="33" t="inlineStr">
        <is>
          <t>104</t>
        </is>
      </c>
      <c r="B174" s="32" t="inlineStr">
        <is>
          <t>Primer Pico Occidental de Maladeta</t>
        </is>
      </c>
      <c r="C174" s="52" t="n">
        <v>3254</v>
      </c>
      <c r="D174" s="53" t="inlineStr">
        <is>
          <t>Z9 · Maladeta-Aneto</t>
        </is>
      </c>
      <c r="E174" s="33" t="inlineStr">
        <is>
          <t>Principal</t>
        </is>
      </c>
      <c r="F174" s="33" t="inlineStr">
        <is>
          <t>No</t>
        </is>
      </c>
      <c r="G174" s="33"/>
      <c r="H174" s="54"/>
      <c r="I174" s="53"/>
      <c r="J174" s="33"/>
      <c r="K174" s="53"/>
    </row>
    <row r="175">
      <c r="A175" s="33" t="inlineStr">
        <is>
          <t>114</t>
        </is>
      </c>
      <c r="B175" s="32" t="inlineStr">
        <is>
          <t>Pico Margalida</t>
        </is>
      </c>
      <c r="C175" s="52" t="n">
        <v>3241</v>
      </c>
      <c r="D175" s="53" t="inlineStr">
        <is>
          <t>Z9 · Maladeta-Aneto</t>
        </is>
      </c>
      <c r="E175" s="33" t="inlineStr">
        <is>
          <t>Principal</t>
        </is>
      </c>
      <c r="F175" s="33" t="inlineStr">
        <is>
          <t>No</t>
        </is>
      </c>
      <c r="G175" s="33"/>
      <c r="H175" s="54"/>
      <c r="I175" s="53"/>
      <c r="J175" s="33"/>
      <c r="K175" s="53"/>
    </row>
    <row r="176">
      <c r="A176" s="33" t="inlineStr">
        <is>
          <t>102</t>
        </is>
      </c>
      <c r="B176" s="32" t="inlineStr">
        <is>
          <t>Segundo Pico Occidental de Maladeta</t>
        </is>
      </c>
      <c r="C176" s="52" t="n">
        <v>3220</v>
      </c>
      <c r="D176" s="53" t="inlineStr">
        <is>
          <t>Z9 · Maladeta-Aneto</t>
        </is>
      </c>
      <c r="E176" s="33" t="inlineStr">
        <is>
          <t>Principal</t>
        </is>
      </c>
      <c r="F176" s="33" t="inlineStr">
        <is>
          <t>No</t>
        </is>
      </c>
      <c r="G176" s="33"/>
      <c r="H176" s="54"/>
      <c r="I176" s="53"/>
      <c r="J176" s="33"/>
      <c r="K176" s="53"/>
    </row>
    <row r="177">
      <c r="A177" s="33" t="inlineStr">
        <is>
          <t>115</t>
        </is>
      </c>
      <c r="B177" s="32" t="inlineStr">
        <is>
          <t>Pico Russell</t>
        </is>
      </c>
      <c r="C177" s="52" t="n">
        <v>3207</v>
      </c>
      <c r="D177" s="53" t="inlineStr">
        <is>
          <t>Z9 · Maladeta-Aneto</t>
        </is>
      </c>
      <c r="E177" s="33" t="inlineStr">
        <is>
          <t>Principal</t>
        </is>
      </c>
      <c r="F177" s="33" t="inlineStr">
        <is>
          <t>No</t>
        </is>
      </c>
      <c r="G177" s="33"/>
      <c r="H177" s="54"/>
      <c r="I177" s="53"/>
      <c r="J177" s="33"/>
      <c r="K177" s="53"/>
    </row>
    <row r="178">
      <c r="A178" s="33" t="inlineStr">
        <is>
          <t>78</t>
        </is>
      </c>
      <c r="B178" s="32" t="inlineStr">
        <is>
          <t>Russell SE</t>
        </is>
      </c>
      <c r="C178" s="52" t="n">
        <v>3205</v>
      </c>
      <c r="D178" s="53" t="inlineStr">
        <is>
          <t>Z9 · Maladeta-Aneto</t>
        </is>
      </c>
      <c r="E178" s="33" t="inlineStr">
        <is>
          <t>Secundari</t>
        </is>
      </c>
      <c r="F178" s="33" t="inlineStr">
        <is>
          <t>No</t>
        </is>
      </c>
      <c r="G178" s="33"/>
      <c r="H178" s="54"/>
      <c r="I178" s="53"/>
      <c r="J178" s="33"/>
      <c r="K178" s="53"/>
    </row>
    <row r="179">
      <c r="A179" s="33" t="inlineStr">
        <is>
          <t>77</t>
        </is>
      </c>
      <c r="B179" s="32" t="inlineStr">
        <is>
          <t>Punta Brecha Russell</t>
        </is>
      </c>
      <c r="C179" s="52" t="n">
        <v>3192</v>
      </c>
      <c r="D179" s="53" t="inlineStr">
        <is>
          <t>Z9 · Maladeta-Aneto</t>
        </is>
      </c>
      <c r="E179" s="33" t="inlineStr">
        <is>
          <t>Secundari</t>
        </is>
      </c>
      <c r="F179" s="33" t="inlineStr">
        <is>
          <t>No</t>
        </is>
      </c>
      <c r="G179" s="33"/>
      <c r="H179" s="54"/>
      <c r="I179" s="53"/>
      <c r="J179" s="33"/>
      <c r="K179" s="53"/>
    </row>
    <row r="180">
      <c r="A180" s="33" t="inlineStr">
        <is>
          <t>101</t>
        </is>
      </c>
      <c r="B180" s="32" t="inlineStr">
        <is>
          <t>Tercer Pico Occidental de Maladeta</t>
        </is>
      </c>
      <c r="C180" s="52" t="n">
        <v>3185</v>
      </c>
      <c r="D180" s="53" t="inlineStr">
        <is>
          <t>Z9 · Maladeta-Aneto</t>
        </is>
      </c>
      <c r="E180" s="33" t="inlineStr">
        <is>
          <t>Principal</t>
        </is>
      </c>
      <c r="F180" s="33" t="inlineStr">
        <is>
          <t>No</t>
        </is>
      </c>
      <c r="G180" s="33"/>
      <c r="H180" s="54"/>
      <c r="I180" s="53"/>
      <c r="J180" s="33"/>
      <c r="K180" s="53"/>
    </row>
    <row r="181">
      <c r="A181" s="33" t="inlineStr">
        <is>
          <t>103</t>
        </is>
      </c>
      <c r="B181" s="32" t="inlineStr">
        <is>
          <t>Pico le Bondidier</t>
        </is>
      </c>
      <c r="C181" s="52" t="n">
        <v>3185</v>
      </c>
      <c r="D181" s="53" t="inlineStr">
        <is>
          <t>Z9 · Maladeta-Aneto</t>
        </is>
      </c>
      <c r="E181" s="33" t="inlineStr">
        <is>
          <t>Principal</t>
        </is>
      </c>
      <c r="F181" s="33" t="inlineStr">
        <is>
          <t>No</t>
        </is>
      </c>
      <c r="G181" s="33"/>
      <c r="H181" s="54"/>
      <c r="I181" s="53"/>
      <c r="J181" s="33"/>
      <c r="K181" s="53"/>
    </row>
    <row r="182">
      <c r="A182" s="33" t="inlineStr">
        <is>
          <t>58</t>
        </is>
      </c>
      <c r="B182" s="32" t="inlineStr">
        <is>
          <t>Punta Delmás</t>
        </is>
      </c>
      <c r="C182" s="52" t="n">
        <v>3170</v>
      </c>
      <c r="D182" s="53" t="inlineStr">
        <is>
          <t>Z9 · Maladeta-Aneto</t>
        </is>
      </c>
      <c r="E182" s="33" t="inlineStr">
        <is>
          <t>Secundari</t>
        </is>
      </c>
      <c r="F182" s="33" t="inlineStr">
        <is>
          <t>No</t>
        </is>
      </c>
      <c r="G182" s="33"/>
      <c r="H182" s="54"/>
      <c r="I182" s="53"/>
      <c r="J182" s="33"/>
      <c r="K182" s="53"/>
    </row>
    <row r="183">
      <c r="A183" s="33" t="inlineStr">
        <is>
          <t>76</t>
        </is>
      </c>
      <c r="B183" s="32" t="inlineStr">
        <is>
          <t>Segundo Resalte de Salenques</t>
        </is>
      </c>
      <c r="C183" s="52" t="n">
        <v>3148</v>
      </c>
      <c r="D183" s="53" t="inlineStr">
        <is>
          <t>Z9 · Maladeta-Aneto</t>
        </is>
      </c>
      <c r="E183" s="33" t="inlineStr">
        <is>
          <t>Secundari</t>
        </is>
      </c>
      <c r="F183" s="33" t="inlineStr">
        <is>
          <t>No</t>
        </is>
      </c>
      <c r="G183" s="33"/>
      <c r="H183" s="54"/>
      <c r="I183" s="53"/>
      <c r="J183" s="33"/>
      <c r="K183" s="53"/>
    </row>
    <row r="184">
      <c r="A184" s="33" t="inlineStr">
        <is>
          <t>79</t>
        </is>
      </c>
      <c r="B184" s="32" t="inlineStr">
        <is>
          <t>Aguja Russell Superior</t>
        </is>
      </c>
      <c r="C184" s="52" t="n">
        <v>3146</v>
      </c>
      <c r="D184" s="53" t="inlineStr">
        <is>
          <t>Z9 · Maladeta-Aneto</t>
        </is>
      </c>
      <c r="E184" s="33" t="inlineStr">
        <is>
          <t>Secundari</t>
        </is>
      </c>
      <c r="F184" s="33" t="inlineStr">
        <is>
          <t>No</t>
        </is>
      </c>
      <c r="G184" s="33"/>
      <c r="H184" s="54"/>
      <c r="I184" s="53"/>
      <c r="J184" s="33"/>
      <c r="K184" s="53"/>
    </row>
    <row r="185">
      <c r="A185" s="33" t="inlineStr">
        <is>
          <t>100</t>
        </is>
      </c>
      <c r="B185" s="32" t="inlineStr">
        <is>
          <t>Diente de Alba</t>
        </is>
      </c>
      <c r="C185" s="52" t="n">
        <v>3136</v>
      </c>
      <c r="D185" s="53" t="inlineStr">
        <is>
          <t>Z9 · Maladeta-Aneto</t>
        </is>
      </c>
      <c r="E185" s="33" t="inlineStr">
        <is>
          <t>Principal</t>
        </is>
      </c>
      <c r="F185" s="33" t="inlineStr">
        <is>
          <t>No</t>
        </is>
      </c>
      <c r="G185" s="33"/>
      <c r="H185" s="54"/>
      <c r="I185" s="53"/>
      <c r="J185" s="33"/>
      <c r="K185" s="53"/>
    </row>
    <row r="186">
      <c r="A186" s="33" t="inlineStr">
        <is>
          <t>75</t>
        </is>
      </c>
      <c r="B186" s="32" t="inlineStr">
        <is>
          <t>Primer Resalte de Salenques</t>
        </is>
      </c>
      <c r="C186" s="52" t="n">
        <v>3127</v>
      </c>
      <c r="D186" s="53" t="inlineStr">
        <is>
          <t>Z9 · Maladeta-Aneto</t>
        </is>
      </c>
      <c r="E186" s="33" t="inlineStr">
        <is>
          <t>Secundari</t>
        </is>
      </c>
      <c r="F186" s="33" t="inlineStr">
        <is>
          <t>No</t>
        </is>
      </c>
      <c r="G186" s="33"/>
      <c r="H186" s="54"/>
      <c r="I186" s="53"/>
      <c r="J186" s="33"/>
      <c r="K186" s="53"/>
    </row>
    <row r="187">
      <c r="A187" s="33" t="inlineStr">
        <is>
          <t>099</t>
        </is>
      </c>
      <c r="B187" s="32" t="inlineStr">
        <is>
          <t>Pico de Alba</t>
        </is>
      </c>
      <c r="C187" s="52" t="n">
        <v>3118</v>
      </c>
      <c r="D187" s="53" t="inlineStr">
        <is>
          <t>Z9 · Maladeta-Aneto</t>
        </is>
      </c>
      <c r="E187" s="33" t="inlineStr">
        <is>
          <t>Principal</t>
        </is>
      </c>
      <c r="F187" s="33" t="inlineStr">
        <is>
          <t>No</t>
        </is>
      </c>
      <c r="G187" s="33"/>
      <c r="H187" s="54"/>
      <c r="I187" s="53"/>
      <c r="J187" s="33"/>
      <c r="K187" s="53"/>
    </row>
    <row r="188">
      <c r="A188" s="33" t="inlineStr">
        <is>
          <t>57</t>
        </is>
      </c>
      <c r="B188" s="32" t="inlineStr">
        <is>
          <t>Muela de Alba</t>
        </is>
      </c>
      <c r="C188" s="52" t="n">
        <v>3118</v>
      </c>
      <c r="D188" s="53" t="inlineStr">
        <is>
          <t>Z9 · Maladeta-Aneto</t>
        </is>
      </c>
      <c r="E188" s="33" t="inlineStr">
        <is>
          <t>Secundari</t>
        </is>
      </c>
      <c r="F188" s="33" t="inlineStr">
        <is>
          <t>No</t>
        </is>
      </c>
      <c r="G188" s="33"/>
      <c r="H188" s="54"/>
      <c r="I188" s="53"/>
      <c r="J188" s="33"/>
      <c r="K188" s="53"/>
    </row>
    <row r="189">
      <c r="A189" s="33" t="inlineStr">
        <is>
          <t>74</t>
        </is>
      </c>
      <c r="B189" s="32" t="inlineStr">
        <is>
          <t>Gendarme-Torre de Salenques</t>
        </is>
      </c>
      <c r="C189" s="52" t="n">
        <v>3111</v>
      </c>
      <c r="D189" s="53" t="inlineStr">
        <is>
          <t>Z9 · Maladeta-Aneto</t>
        </is>
      </c>
      <c r="E189" s="33" t="inlineStr">
        <is>
          <t>Secundari</t>
        </is>
      </c>
      <c r="F189" s="33" t="inlineStr">
        <is>
          <t>No</t>
        </is>
      </c>
      <c r="G189" s="33"/>
      <c r="H189" s="54"/>
      <c r="I189" s="53"/>
      <c r="J189" s="33"/>
      <c r="K189" s="53"/>
    </row>
    <row r="190">
      <c r="A190" s="33" t="inlineStr">
        <is>
          <t>62</t>
        </is>
      </c>
      <c r="B190" s="32" t="inlineStr">
        <is>
          <t>Aguja Haurillón</t>
        </is>
      </c>
      <c r="C190" s="52" t="n">
        <v>3075</v>
      </c>
      <c r="D190" s="53" t="inlineStr">
        <is>
          <t>Z9 · Maladeta-Aneto</t>
        </is>
      </c>
      <c r="E190" s="33" t="inlineStr">
        <is>
          <t>Secundari</t>
        </is>
      </c>
      <c r="F190" s="33" t="inlineStr">
        <is>
          <t>No</t>
        </is>
      </c>
      <c r="G190" s="33"/>
      <c r="H190" s="54"/>
      <c r="I190" s="53"/>
      <c r="J190" s="33"/>
      <c r="K190" s="53"/>
    </row>
    <row r="191">
      <c r="A191" s="33" t="inlineStr">
        <is>
          <t>117</t>
        </is>
      </c>
      <c r="B191" s="32" t="inlineStr">
        <is>
          <t>Pico de Vallhiverna</t>
        </is>
      </c>
      <c r="C191" s="52" t="n">
        <v>3067</v>
      </c>
      <c r="D191" s="53" t="inlineStr">
        <is>
          <t>Z9 · Maladeta-Aneto</t>
        </is>
      </c>
      <c r="E191" s="33" t="inlineStr">
        <is>
          <t>Principal</t>
        </is>
      </c>
      <c r="F191" s="33" t="inlineStr">
        <is>
          <t>No</t>
        </is>
      </c>
      <c r="G191" s="33"/>
      <c r="H191" s="54"/>
      <c r="I191" s="53"/>
      <c r="J191" s="33"/>
      <c r="K191" s="53"/>
    </row>
    <row r="192">
      <c r="A192" s="33" t="inlineStr">
        <is>
          <t>69</t>
        </is>
      </c>
      <c r="B192" s="32" t="inlineStr">
        <is>
          <t>Aguja Franqueville</t>
        </is>
      </c>
      <c r="C192" s="52" t="n">
        <v>3065</v>
      </c>
      <c r="D192" s="53" t="inlineStr">
        <is>
          <t>Z9 · Maladeta-Aneto</t>
        </is>
      </c>
      <c r="E192" s="33" t="inlineStr">
        <is>
          <t>Secundari</t>
        </is>
      </c>
      <c r="F192" s="33" t="inlineStr">
        <is>
          <t>No</t>
        </is>
      </c>
      <c r="G192" s="33"/>
      <c r="H192" s="54"/>
      <c r="I192" s="53"/>
      <c r="J192" s="33"/>
      <c r="K192" s="53"/>
    </row>
    <row r="193">
      <c r="A193" s="33" t="inlineStr">
        <is>
          <t>116</t>
        </is>
      </c>
      <c r="B193" s="32" t="inlineStr">
        <is>
          <t>Tuca de Culebras</t>
        </is>
      </c>
      <c r="C193" s="52" t="n">
        <v>3062</v>
      </c>
      <c r="D193" s="53" t="inlineStr">
        <is>
          <t>Z9 · Maladeta-Aneto</t>
        </is>
      </c>
      <c r="E193" s="33" t="inlineStr">
        <is>
          <t>Principal</t>
        </is>
      </c>
      <c r="F193" s="33" t="inlineStr">
        <is>
          <t>No</t>
        </is>
      </c>
      <c r="G193" s="33"/>
      <c r="H193" s="54"/>
      <c r="I193" s="53"/>
      <c r="J193" s="33"/>
      <c r="K193" s="53"/>
    </row>
    <row r="194">
      <c r="A194" s="33" t="inlineStr">
        <is>
          <t>56</t>
        </is>
      </c>
      <c r="B194" s="32" t="inlineStr">
        <is>
          <t>Gendarme de Alba</t>
        </is>
      </c>
      <c r="C194" s="52" t="n">
        <v>3054</v>
      </c>
      <c r="D194" s="53" t="inlineStr">
        <is>
          <t>Z9 · Maladeta-Aneto</t>
        </is>
      </c>
      <c r="E194" s="33" t="inlineStr">
        <is>
          <t>Secundari</t>
        </is>
      </c>
      <c r="F194" s="33" t="inlineStr">
        <is>
          <t>No</t>
        </is>
      </c>
      <c r="G194" s="33"/>
      <c r="H194" s="54"/>
      <c r="I194" s="53"/>
      <c r="J194" s="33"/>
      <c r="K194" s="53"/>
    </row>
    <row r="195">
      <c r="A195" s="33" t="inlineStr">
        <is>
          <t>70</t>
        </is>
      </c>
      <c r="B195" s="32" t="inlineStr">
        <is>
          <t>Aguja Tchihatcheff</t>
        </is>
      </c>
      <c r="C195" s="52" t="n">
        <v>3052</v>
      </c>
      <c r="D195" s="53" t="inlineStr">
        <is>
          <t>Z9 · Maladeta-Aneto</t>
        </is>
      </c>
      <c r="E195" s="33" t="inlineStr">
        <is>
          <t>Secundari</t>
        </is>
      </c>
      <c r="F195" s="33" t="inlineStr">
        <is>
          <t>No</t>
        </is>
      </c>
      <c r="G195" s="33"/>
      <c r="H195" s="54"/>
      <c r="I195" s="53"/>
      <c r="J195" s="33"/>
      <c r="K195" s="53"/>
    </row>
    <row r="196">
      <c r="A196" s="33" t="inlineStr">
        <is>
          <t>71</t>
        </is>
      </c>
      <c r="B196" s="32" t="inlineStr">
        <is>
          <t>Aguja Argarot</t>
        </is>
      </c>
      <c r="C196" s="52" t="n">
        <v>3052</v>
      </c>
      <c r="D196" s="53" t="inlineStr">
        <is>
          <t>Z9 · Maladeta-Aneto</t>
        </is>
      </c>
      <c r="E196" s="33" t="inlineStr">
        <is>
          <t>Secundari</t>
        </is>
      </c>
      <c r="F196" s="33" t="inlineStr">
        <is>
          <t>No</t>
        </is>
      </c>
      <c r="G196" s="33"/>
      <c r="H196" s="54"/>
      <c r="I196" s="53"/>
      <c r="J196" s="33"/>
      <c r="K196" s="53"/>
    </row>
    <row r="197">
      <c r="A197" s="33" t="inlineStr">
        <is>
          <t>63</t>
        </is>
      </c>
      <c r="B197" s="32" t="inlineStr">
        <is>
          <t>Aguja Cregüeña</t>
        </is>
      </c>
      <c r="C197" s="52" t="n">
        <v>3043</v>
      </c>
      <c r="D197" s="53" t="inlineStr">
        <is>
          <t>Z9 · Maladeta-Aneto</t>
        </is>
      </c>
      <c r="E197" s="33" t="inlineStr">
        <is>
          <t>Secundari</t>
        </is>
      </c>
      <c r="F197" s="33" t="inlineStr">
        <is>
          <t>No</t>
        </is>
      </c>
      <c r="G197" s="33"/>
      <c r="H197" s="54"/>
      <c r="I197" s="53"/>
      <c r="J197" s="33"/>
      <c r="K197" s="53"/>
    </row>
    <row r="198">
      <c r="A198" s="33" t="inlineStr">
        <is>
          <t>107</t>
        </is>
      </c>
      <c r="B198" s="32" t="inlineStr">
        <is>
          <t>Pico de Aragüells</t>
        </is>
      </c>
      <c r="C198" s="52" t="n">
        <v>3037</v>
      </c>
      <c r="D198" s="53" t="inlineStr">
        <is>
          <t>Z9 · Maladeta-Aneto</t>
        </is>
      </c>
      <c r="E198" s="33" t="inlineStr">
        <is>
          <t>Principal</t>
        </is>
      </c>
      <c r="F198" s="33" t="inlineStr">
        <is>
          <t>No</t>
        </is>
      </c>
      <c r="G198" s="33"/>
      <c r="H198" s="54"/>
      <c r="I198" s="53"/>
      <c r="J198" s="33"/>
      <c r="K198" s="53"/>
    </row>
    <row r="199">
      <c r="A199" s="33" t="inlineStr">
        <is>
          <t>80</t>
        </is>
      </c>
      <c r="B199" s="32" t="inlineStr">
        <is>
          <t>Punta Russell Oriental</t>
        </is>
      </c>
      <c r="C199" s="52" t="n">
        <v>3034</v>
      </c>
      <c r="D199" s="53" t="inlineStr">
        <is>
          <t>Z9 · Maladeta-Aneto</t>
        </is>
      </c>
      <c r="E199" s="33" t="inlineStr">
        <is>
          <t>Secundari</t>
        </is>
      </c>
      <c r="F199" s="33" t="inlineStr">
        <is>
          <t>No</t>
        </is>
      </c>
      <c r="G199" s="33"/>
      <c r="H199" s="54"/>
      <c r="I199" s="53"/>
      <c r="J199" s="33"/>
      <c r="K199" s="53"/>
    </row>
    <row r="200">
      <c r="A200" s="33" t="inlineStr">
        <is>
          <t>81</t>
        </is>
      </c>
      <c r="B200" s="32" t="inlineStr">
        <is>
          <t>Aguja SW de Russell</t>
        </is>
      </c>
      <c r="C200" s="52" t="n">
        <v>3029</v>
      </c>
      <c r="D200" s="53" t="inlineStr">
        <is>
          <t>Z9 · Maladeta-Aneto</t>
        </is>
      </c>
      <c r="E200" s="33" t="inlineStr">
        <is>
          <t>Secundari</t>
        </is>
      </c>
      <c r="F200" s="33" t="inlineStr">
        <is>
          <t>No</t>
        </is>
      </c>
      <c r="G200" s="33"/>
      <c r="H200" s="54"/>
      <c r="I200" s="53"/>
      <c r="J200" s="33"/>
      <c r="K200" s="53"/>
    </row>
    <row r="201">
      <c r="A201" s="33" t="inlineStr">
        <is>
          <t>73</t>
        </is>
      </c>
      <c r="B201" s="32" t="inlineStr">
        <is>
          <t>Forca Estasen</t>
        </is>
      </c>
      <c r="C201" s="52" t="n">
        <v>3028</v>
      </c>
      <c r="D201" s="53" t="inlineStr">
        <is>
          <t>Z9 · Maladeta-Aneto</t>
        </is>
      </c>
      <c r="E201" s="33" t="inlineStr">
        <is>
          <t>Secundari</t>
        </is>
      </c>
      <c r="F201" s="33" t="inlineStr">
        <is>
          <t>No</t>
        </is>
      </c>
      <c r="G201" s="33"/>
      <c r="H201" s="54"/>
      <c r="I201" s="53"/>
      <c r="J201" s="33"/>
      <c r="K201" s="53"/>
    </row>
    <row r="202">
      <c r="A202" s="33" t="inlineStr">
        <is>
          <t>64</t>
        </is>
      </c>
      <c r="B202" s="32" t="inlineStr">
        <is>
          <t>Aguja Juncadella</t>
        </is>
      </c>
      <c r="C202" s="52" t="n">
        <v>3021</v>
      </c>
      <c r="D202" s="53" t="inlineStr">
        <is>
          <t>Z9 · Maladeta-Aneto</t>
        </is>
      </c>
      <c r="E202" s="33" t="inlineStr">
        <is>
          <t>Secundari</t>
        </is>
      </c>
      <c r="F202" s="33" t="inlineStr">
        <is>
          <t>No</t>
        </is>
      </c>
      <c r="G202" s="33"/>
      <c r="H202" s="54"/>
      <c r="I202" s="53"/>
      <c r="J202" s="33"/>
      <c r="K202" s="53"/>
    </row>
    <row r="203">
      <c r="A203" s="33" t="inlineStr">
        <is>
          <t>118</t>
        </is>
      </c>
      <c r="B203" s="32" t="inlineStr">
        <is>
          <t>Tuc de Mulleres (Molières)</t>
        </is>
      </c>
      <c r="C203" s="52" t="n">
        <v>3010</v>
      </c>
      <c r="D203" s="53" t="inlineStr">
        <is>
          <t>Z9 · Maladeta-Aneto</t>
        </is>
      </c>
      <c r="E203" s="33" t="inlineStr">
        <is>
          <t>Principal</t>
        </is>
      </c>
      <c r="F203" s="33" t="inlineStr">
        <is>
          <t>Sí</t>
        </is>
      </c>
      <c r="G203" s="33"/>
      <c r="H203" s="54"/>
      <c r="I203" s="53"/>
      <c r="J203" s="33"/>
      <c r="K203" s="53"/>
    </row>
    <row r="204">
      <c r="A204" s="33" t="inlineStr">
        <is>
          <t>123</t>
        </is>
      </c>
      <c r="B204" s="32" t="inlineStr">
        <is>
          <t>Comaloforno</t>
        </is>
      </c>
      <c r="C204" s="52" t="n">
        <v>3033</v>
      </c>
      <c r="D204" s="53" t="inlineStr">
        <is>
          <t>Z10 · Besiberri</t>
        </is>
      </c>
      <c r="E204" s="33" t="inlineStr">
        <is>
          <t>Principal</t>
        </is>
      </c>
      <c r="F204" s="33" t="inlineStr">
        <is>
          <t>Sí</t>
        </is>
      </c>
      <c r="G204" s="33"/>
      <c r="H204" s="54"/>
      <c r="I204" s="53"/>
      <c r="J204" s="33"/>
      <c r="K204" s="53"/>
    </row>
    <row r="205">
      <c r="A205" s="33" t="inlineStr">
        <is>
          <t>122</t>
        </is>
      </c>
      <c r="B205" s="32" t="inlineStr">
        <is>
          <t>Besiberri S</t>
        </is>
      </c>
      <c r="C205" s="52" t="n">
        <v>3030</v>
      </c>
      <c r="D205" s="53" t="inlineStr">
        <is>
          <t>Z10 · Besiberri</t>
        </is>
      </c>
      <c r="E205" s="33" t="inlineStr">
        <is>
          <t>Principal</t>
        </is>
      </c>
      <c r="F205" s="33" t="inlineStr">
        <is>
          <t>Sí</t>
        </is>
      </c>
      <c r="G205" s="33"/>
      <c r="H205" s="54"/>
      <c r="I205" s="53"/>
      <c r="J205" s="33"/>
      <c r="K205" s="53"/>
    </row>
    <row r="206">
      <c r="A206" s="33" t="inlineStr">
        <is>
          <t>119</t>
        </is>
      </c>
      <c r="B206" s="32" t="inlineStr">
        <is>
          <t>Besiberri N</t>
        </is>
      </c>
      <c r="C206" s="52" t="n">
        <v>3014</v>
      </c>
      <c r="D206" s="53" t="inlineStr">
        <is>
          <t>Z10 · Besiberri</t>
        </is>
      </c>
      <c r="E206" s="33" t="inlineStr">
        <is>
          <t>Principal</t>
        </is>
      </c>
      <c r="F206" s="33" t="inlineStr">
        <is>
          <t>Sí</t>
        </is>
      </c>
      <c r="G206" s="33"/>
      <c r="H206" s="54"/>
      <c r="I206" s="53"/>
      <c r="J206" s="33"/>
      <c r="K206" s="53"/>
    </row>
    <row r="207">
      <c r="A207" s="33" t="inlineStr">
        <is>
          <t>125</t>
        </is>
      </c>
      <c r="B207" s="32" t="inlineStr">
        <is>
          <t>Punta Alta (Comalesbienes)</t>
        </is>
      </c>
      <c r="C207" s="52" t="n">
        <v>3014</v>
      </c>
      <c r="D207" s="53" t="inlineStr">
        <is>
          <t>Z10 · Besiberri</t>
        </is>
      </c>
      <c r="E207" s="33" t="inlineStr">
        <is>
          <t>Principal</t>
        </is>
      </c>
      <c r="F207" s="33" t="inlineStr">
        <is>
          <t>Sí</t>
        </is>
      </c>
      <c r="G207" s="33"/>
      <c r="H207" s="54"/>
      <c r="I207" s="53"/>
      <c r="J207" s="33"/>
      <c r="K207" s="53"/>
    </row>
    <row r="208">
      <c r="A208" s="33" t="inlineStr">
        <is>
          <t>—</t>
        </is>
      </c>
      <c r="B208" s="32" t="inlineStr">
        <is>
          <t>Agulla Sud de Malavesina</t>
        </is>
      </c>
      <c r="C208" s="52" t="n">
        <v>3012</v>
      </c>
      <c r="D208" s="53" t="inlineStr">
        <is>
          <t>Z10 · Besiberri</t>
        </is>
      </c>
      <c r="E208" s="33" t="inlineStr">
        <is>
          <t>No (només llista catalana)</t>
        </is>
      </c>
      <c r="F208" s="33" t="inlineStr">
        <is>
          <t>Sí</t>
        </is>
      </c>
      <c r="G208" s="33"/>
      <c r="H208" s="54"/>
      <c r="I208" s="53"/>
      <c r="J208" s="33"/>
      <c r="K208" s="53"/>
    </row>
    <row r="209">
      <c r="A209" s="33" t="inlineStr">
        <is>
          <t>—</t>
        </is>
      </c>
      <c r="B209" s="32" t="inlineStr">
        <is>
          <t>Agulla Nord de Malavesina</t>
        </is>
      </c>
      <c r="C209" s="52" t="n">
        <v>3010</v>
      </c>
      <c r="D209" s="53" t="inlineStr">
        <is>
          <t>Z10 · Besiberri</t>
        </is>
      </c>
      <c r="E209" s="33" t="inlineStr">
        <is>
          <t>No (només llista catalana)</t>
        </is>
      </c>
      <c r="F209" s="33" t="inlineStr">
        <is>
          <t>Sí</t>
        </is>
      </c>
      <c r="G209" s="33"/>
      <c r="H209" s="54"/>
      <c r="I209" s="53"/>
      <c r="J209" s="33"/>
      <c r="K209" s="53"/>
    </row>
    <row r="210">
      <c r="A210" s="33" t="inlineStr">
        <is>
          <t>121</t>
        </is>
      </c>
      <c r="B210" s="32" t="inlineStr">
        <is>
          <t>Besiberri del Mig S</t>
        </is>
      </c>
      <c r="C210" s="52" t="n">
        <v>3003</v>
      </c>
      <c r="D210" s="53" t="inlineStr">
        <is>
          <t>Z10 · Besiberri</t>
        </is>
      </c>
      <c r="E210" s="33" t="inlineStr">
        <is>
          <t>Principal</t>
        </is>
      </c>
      <c r="F210" s="33" t="inlineStr">
        <is>
          <t>Sí</t>
        </is>
      </c>
      <c r="G210" s="33"/>
      <c r="H210" s="54"/>
      <c r="I210" s="53"/>
      <c r="J210" s="33"/>
      <c r="K210" s="53"/>
    </row>
    <row r="211">
      <c r="A211" s="33" t="inlineStr">
        <is>
          <t>120</t>
        </is>
      </c>
      <c r="B211" s="32" t="inlineStr">
        <is>
          <t>Besiberri del Mig N</t>
        </is>
      </c>
      <c r="C211" s="52" t="n">
        <v>3002</v>
      </c>
      <c r="D211" s="53" t="inlineStr">
        <is>
          <t>Z10 · Besiberri</t>
        </is>
      </c>
      <c r="E211" s="33" t="inlineStr">
        <is>
          <t>Principal</t>
        </is>
      </c>
      <c r="F211" s="33" t="inlineStr">
        <is>
          <t>Sí</t>
        </is>
      </c>
      <c r="G211" s="33"/>
      <c r="H211" s="54"/>
      <c r="I211" s="53"/>
      <c r="J211" s="33"/>
      <c r="K211" s="53"/>
    </row>
    <row r="212">
      <c r="A212" s="33" t="inlineStr">
        <is>
          <t>124</t>
        </is>
      </c>
      <c r="B212" s="32" t="inlineStr">
        <is>
          <t>Pico Celesti Passet</t>
        </is>
      </c>
      <c r="C212" s="52" t="n">
        <v>3002</v>
      </c>
      <c r="D212" s="53" t="inlineStr">
        <is>
          <t>Z10 · Besiberri</t>
        </is>
      </c>
      <c r="E212" s="33" t="inlineStr">
        <is>
          <t>Principal</t>
        </is>
      </c>
      <c r="F212" s="33" t="inlineStr">
        <is>
          <t>Sí</t>
        </is>
      </c>
      <c r="G212" s="33"/>
      <c r="H212" s="54"/>
      <c r="I212" s="53"/>
      <c r="J212" s="33"/>
      <c r="K212" s="53"/>
    </row>
    <row r="213">
      <c r="A213" s="33" t="inlineStr">
        <is>
          <t>129</t>
        </is>
      </c>
      <c r="B213" s="32" t="inlineStr">
        <is>
          <t>Pica d'Estats</t>
        </is>
      </c>
      <c r="C213" s="52" t="n">
        <v>3143</v>
      </c>
      <c r="D213" s="53" t="inlineStr">
        <is>
          <t>Z11 · Montcalm-Estats</t>
        </is>
      </c>
      <c r="E213" s="33" t="inlineStr">
        <is>
          <t>Principal</t>
        </is>
      </c>
      <c r="F213" s="33" t="inlineStr">
        <is>
          <t>Sí</t>
        </is>
      </c>
      <c r="G213" s="33"/>
      <c r="H213" s="54"/>
      <c r="I213" s="53"/>
      <c r="J213" s="33"/>
      <c r="K213" s="53"/>
    </row>
    <row r="214">
      <c r="A214" s="33" t="inlineStr">
        <is>
          <t>128</t>
        </is>
      </c>
      <c r="B214" s="32" t="inlineStr">
        <is>
          <t>Pico Verdaguer</t>
        </is>
      </c>
      <c r="C214" s="52" t="n">
        <v>3131</v>
      </c>
      <c r="D214" s="53" t="inlineStr">
        <is>
          <t>Z11 · Montcalm-Estats</t>
        </is>
      </c>
      <c r="E214" s="33" t="inlineStr">
        <is>
          <t>Principal</t>
        </is>
      </c>
      <c r="F214" s="33" t="inlineStr">
        <is>
          <t>Sí</t>
        </is>
      </c>
      <c r="G214" s="33"/>
      <c r="H214" s="54"/>
      <c r="I214" s="53"/>
      <c r="J214" s="33"/>
      <c r="K214" s="53"/>
    </row>
    <row r="215">
      <c r="A215" s="33" t="inlineStr">
        <is>
          <t>82</t>
        </is>
      </c>
      <c r="B215" s="32" t="inlineStr">
        <is>
          <t>Punta Gabarró</t>
        </is>
      </c>
      <c r="C215" s="52" t="n">
        <v>3115</v>
      </c>
      <c r="D215" s="53" t="inlineStr">
        <is>
          <t>Z11 · Montcalm-Estats</t>
        </is>
      </c>
      <c r="E215" s="33" t="inlineStr">
        <is>
          <t>Secundari</t>
        </is>
      </c>
      <c r="F215" s="33" t="inlineStr">
        <is>
          <t>Sí</t>
        </is>
      </c>
      <c r="G215" s="33"/>
      <c r="H215" s="54"/>
      <c r="I215" s="53"/>
      <c r="J215" s="33"/>
      <c r="K215" s="53"/>
    </row>
    <row r="216">
      <c r="A216" s="33" t="inlineStr">
        <is>
          <t>127</t>
        </is>
      </c>
      <c r="B216" s="32" t="inlineStr">
        <is>
          <t>Montcalm</t>
        </is>
      </c>
      <c r="C216" s="52" t="n">
        <v>3077</v>
      </c>
      <c r="D216" s="53" t="inlineStr">
        <is>
          <t>Z11 · Montcalm-Estats</t>
        </is>
      </c>
      <c r="E216" s="33" t="inlineStr">
        <is>
          <t>Principal</t>
        </is>
      </c>
      <c r="F216" s="33" t="inlineStr">
        <is>
          <t>No</t>
        </is>
      </c>
      <c r="G216" s="33"/>
      <c r="H216" s="54"/>
      <c r="I216" s="53"/>
      <c r="J216" s="33"/>
      <c r="K216" s="53"/>
    </row>
    <row r="217">
      <c r="A217" s="33" t="inlineStr">
        <is>
          <t>126</t>
        </is>
      </c>
      <c r="B217" s="32" t="inlineStr">
        <is>
          <t>Pico de Sotllo</t>
        </is>
      </c>
      <c r="C217" s="52" t="n">
        <v>3072</v>
      </c>
      <c r="D217" s="53" t="inlineStr">
        <is>
          <t>Z11 · Montcalm-Estats</t>
        </is>
      </c>
      <c r="E217" s="33" t="inlineStr">
        <is>
          <t>Principal</t>
        </is>
      </c>
      <c r="F217" s="33" t="inlineStr">
        <is>
          <t>Sí</t>
        </is>
      </c>
      <c r="G217" s="33"/>
      <c r="H217" s="54"/>
      <c r="I217" s="53"/>
      <c r="J217" s="33"/>
      <c r="K217" s="53"/>
    </row>
    <row r="218">
      <c r="A218" s="33" t="inlineStr">
        <is>
          <t>—</t>
        </is>
      </c>
      <c r="B218" s="32" t="inlineStr">
        <is>
          <t>Sotllo Nord</t>
        </is>
      </c>
      <c r="C218" s="52" t="n">
        <v>3058</v>
      </c>
      <c r="D218" s="53" t="inlineStr">
        <is>
          <t>Z11 · Montcalm-Estats</t>
        </is>
      </c>
      <c r="E218" s="33" t="inlineStr">
        <is>
          <t>No (només llista catalana)</t>
        </is>
      </c>
      <c r="F218" s="33" t="inlineStr">
        <is>
          <t>Sí</t>
        </is>
      </c>
      <c r="G218" s="33"/>
      <c r="H218" s="54"/>
      <c r="I218" s="53"/>
      <c r="J218" s="33"/>
      <c r="K218" s="53"/>
    </row>
    <row r="219">
      <c r="A219" s="33" t="inlineStr">
        <is>
          <t>83</t>
        </is>
      </c>
      <c r="B219" s="32" t="inlineStr">
        <is>
          <t>Rodó de Canalbona</t>
        </is>
      </c>
      <c r="C219" s="52" t="n">
        <v>3004</v>
      </c>
      <c r="D219" s="53" t="inlineStr">
        <is>
          <t>Z11 · Montcalm-Estats</t>
        </is>
      </c>
      <c r="E219" s="33" t="inlineStr">
        <is>
          <t>Secundari</t>
        </is>
      </c>
      <c r="F219" s="33" t="inlineStr">
        <is>
          <t>Sí</t>
        </is>
      </c>
      <c r="G219" s="33"/>
      <c r="H219" s="54"/>
      <c r="I219" s="53"/>
      <c r="J219" s="33"/>
      <c r="K219" s="53"/>
    </row>
  </sheetData>
  <conditionalFormatting sqref="A5:K219">
    <cfRule type="expression" priority="1" dxfId="0">
      <formula>$G5="Sí"</formula>
    </cfRule>
  </conditionalFormatting>
  <conditionalFormatting sqref="G5:G219">
    <cfRule type="cellIs" priority="2" operator="equal" dxfId="2">
      <formula>"Sí"</formula>
    </cfRule>
    <cfRule type="cellIs" priority="3" operator="equal" dxfId="3">
      <formula>"No"</formula>
    </cfRule>
  </conditionalFormatting>
  <conditionalFormatting sqref="E5:E219">
    <cfRule type="cellIs" priority="4" operator="equal" dxfId="7">
      <formula>"Principal"</formula>
    </cfRule>
    <cfRule type="cellIs" priority="5" operator="equal" dxfId="8">
      <formula>"Secundari"</formula>
    </cfRule>
    <cfRule type="cellIs" priority="6" operator="equal" dxfId="9">
      <formula>"No (només llista catalana)"</formula>
    </cfRule>
  </conditionalFormatting>
  <conditionalFormatting sqref="F5:F219">
    <cfRule type="cellIs" priority="7" operator="equal" dxfId="10">
      <formula>"Sí"</formula>
    </cfRule>
    <cfRule type="cellIs" priority="8" operator="equal" dxfId="3">
      <formula>"No"</formula>
    </cfRule>
  </conditionalFormatting>
  <dataValidations count="1">
    <dataValidation sqref="G5:G219" showDropDown="0" showInputMessage="0" showErrorMessage="0" allowBlank="0" type="list">
      <formula1>"Sí,No"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F2B8C6"/>
    <outlinePr summaryBelow="1" summaryRight="1"/>
    <pageSetUpPr/>
  </sheetPr>
  <dimension ref="A1:H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24" customWidth="1" min="3" max="3"/>
    <col width="16" customWidth="1" min="4" max="4"/>
    <col width="24" customWidth="1" min="5" max="5"/>
    <col width="30" customWidth="1" min="6" max="6"/>
    <col width="10" customWidth="1" min="7" max="7"/>
    <col width="12" customWidth="1" min="8" max="8"/>
  </cols>
  <sheetData>
    <row r="1" ht="30" customHeight="1">
      <c r="A1" s="50" t="inlineStr">
        <is>
          <t>Els 3000 del Pirineu català</t>
        </is>
      </c>
    </row>
    <row r="2" ht="18" customHeight="1">
      <c r="A2" s="2" t="inlineStr">
        <is>
          <t>16 tresmils de Catalunya (13 vigents + 3 de baixa per quedar per sota de 3.000 m amb les alçades ICGC) · «Assolit» i «Data» es llegeixen de la pestanya «3000 Pirineu»</t>
        </is>
      </c>
    </row>
    <row r="4" ht="32" customHeight="1">
      <c r="A4" s="57" t="inlineStr">
        <is>
          <t>Cim</t>
        </is>
      </c>
      <c r="B4" s="57" t="inlineStr">
        <is>
          <t>Altitud ICGC (m)</t>
        </is>
      </c>
      <c r="C4" s="57" t="inlineStr">
        <is>
          <t>Zona</t>
        </is>
      </c>
      <c r="D4" s="57" t="inlineStr">
        <is>
          <t>Estat</t>
        </is>
      </c>
      <c r="E4" s="29" t="inlineStr">
        <is>
          <t>Llista UIAA</t>
        </is>
      </c>
      <c r="F4" s="57" t="inlineStr">
        <is>
          <t>Nom a «3000 Pirineu»</t>
        </is>
      </c>
      <c r="G4" s="58" t="inlineStr">
        <is>
          <t>Assolit</t>
        </is>
      </c>
      <c r="H4" s="58" t="inlineStr">
        <is>
          <t>Data</t>
        </is>
      </c>
    </row>
    <row r="5">
      <c r="A5" s="32" t="inlineStr">
        <is>
          <t>Pica d'Estats</t>
        </is>
      </c>
      <c r="B5" s="59" t="n">
        <v>3143.45</v>
      </c>
      <c r="C5" s="53" t="inlineStr">
        <is>
          <t>Z11 · Montcalm-Estats</t>
        </is>
      </c>
      <c r="D5" s="33" t="inlineStr">
        <is>
          <t>Vigent</t>
        </is>
      </c>
      <c r="E5" s="33" t="inlineStr">
        <is>
          <t>Principal</t>
        </is>
      </c>
      <c r="F5" s="60" t="inlineStr">
        <is>
          <t>Pica d'Estats</t>
        </is>
      </c>
      <c r="G5" s="33">
        <f>IFERROR(INDEX('3000 Pirineu'!$G$5:$G$219,MATCH(F5,'3000 Pirineu'!$B$5:$B$219,0)),"No")</f>
        <v/>
      </c>
      <c r="H5" s="54">
        <f>IFERROR(IF(INDEX('3000 Pirineu'!$H$5:$H$219,MATCH(F5,'3000 Pirineu'!$B$5:$B$219,0))="","",INDEX('3000 Pirineu'!$H$5:$H$219,MATCH(F5,'3000 Pirineu'!$B$5:$B$219,0))),"")</f>
        <v/>
      </c>
    </row>
    <row r="6">
      <c r="A6" s="32" t="inlineStr">
        <is>
          <t>Pic Verdaguer</t>
        </is>
      </c>
      <c r="B6" s="59" t="n">
        <v>3129.4</v>
      </c>
      <c r="C6" s="53" t="inlineStr">
        <is>
          <t>Z11 · Montcalm-Estats</t>
        </is>
      </c>
      <c r="D6" s="33" t="inlineStr">
        <is>
          <t>Vigent</t>
        </is>
      </c>
      <c r="E6" s="33" t="inlineStr">
        <is>
          <t>Principal</t>
        </is>
      </c>
      <c r="F6" s="60" t="inlineStr">
        <is>
          <t>Pico Verdaguer</t>
        </is>
      </c>
      <c r="G6" s="33">
        <f>IFERROR(INDEX('3000 Pirineu'!$G$5:$G$219,MATCH(F6,'3000 Pirineu'!$B$5:$B$219,0)),"No")</f>
        <v/>
      </c>
      <c r="H6" s="54">
        <f>IFERROR(IF(INDEX('3000 Pirineu'!$H$5:$H$219,MATCH(F6,'3000 Pirineu'!$B$5:$B$219,0))="","",INDEX('3000 Pirineu'!$H$5:$H$219,MATCH(F6,'3000 Pirineu'!$B$5:$B$219,0))),"")</f>
        <v/>
      </c>
    </row>
    <row r="7">
      <c r="A7" s="32" t="inlineStr">
        <is>
          <t>Punta Gabarró</t>
        </is>
      </c>
      <c r="B7" s="59" t="n">
        <v>3114.6</v>
      </c>
      <c r="C7" s="53" t="inlineStr">
        <is>
          <t>Z11 · Montcalm-Estats</t>
        </is>
      </c>
      <c r="D7" s="33" t="inlineStr">
        <is>
          <t>Vigent</t>
        </is>
      </c>
      <c r="E7" s="33" t="inlineStr">
        <is>
          <t>Secundari</t>
        </is>
      </c>
      <c r="F7" s="60" t="inlineStr">
        <is>
          <t>Punta Gabarró</t>
        </is>
      </c>
      <c r="G7" s="33">
        <f>IFERROR(INDEX('3000 Pirineu'!$G$5:$G$219,MATCH(F7,'3000 Pirineu'!$B$5:$B$219,0)),"No")</f>
        <v/>
      </c>
      <c r="H7" s="54">
        <f>IFERROR(IF(INDEX('3000 Pirineu'!$H$5:$H$219,MATCH(F7,'3000 Pirineu'!$B$5:$B$219,0))="","",INDEX('3000 Pirineu'!$H$5:$H$219,MATCH(F7,'3000 Pirineu'!$B$5:$B$219,0))),"")</f>
        <v/>
      </c>
    </row>
    <row r="8">
      <c r="A8" s="32" t="inlineStr">
        <is>
          <t>Pic de Sotllo</t>
        </is>
      </c>
      <c r="B8" s="59" t="n">
        <v>3072.77</v>
      </c>
      <c r="C8" s="53" t="inlineStr">
        <is>
          <t>Z11 · Montcalm-Estats</t>
        </is>
      </c>
      <c r="D8" s="33" t="inlineStr">
        <is>
          <t>Vigent</t>
        </is>
      </c>
      <c r="E8" s="33" t="inlineStr">
        <is>
          <t>Principal</t>
        </is>
      </c>
      <c r="F8" s="60" t="inlineStr">
        <is>
          <t>Pico de Sotllo</t>
        </is>
      </c>
      <c r="G8" s="33">
        <f>IFERROR(INDEX('3000 Pirineu'!$G$5:$G$219,MATCH(F8,'3000 Pirineu'!$B$5:$B$219,0)),"No")</f>
        <v/>
      </c>
      <c r="H8" s="54">
        <f>IFERROR(IF(INDEX('3000 Pirineu'!$H$5:$H$219,MATCH(F8,'3000 Pirineu'!$B$5:$B$219,0))="","",INDEX('3000 Pirineu'!$H$5:$H$219,MATCH(F8,'3000 Pirineu'!$B$5:$B$219,0))),"")</f>
        <v/>
      </c>
    </row>
    <row r="9">
      <c r="A9" s="32" t="inlineStr">
        <is>
          <t>Sotllo Nord</t>
        </is>
      </c>
      <c r="B9" s="59" t="n">
        <v>3058.2</v>
      </c>
      <c r="C9" s="53" t="inlineStr">
        <is>
          <t>Z11 · Montcalm-Estats</t>
        </is>
      </c>
      <c r="D9" s="33" t="inlineStr">
        <is>
          <t>Vigent</t>
        </is>
      </c>
      <c r="E9" s="33" t="inlineStr">
        <is>
          <t>No (només llista catalana)</t>
        </is>
      </c>
      <c r="F9" s="60" t="inlineStr">
        <is>
          <t>Sotllo Nord</t>
        </is>
      </c>
      <c r="G9" s="33">
        <f>IFERROR(INDEX('3000 Pirineu'!$G$5:$G$219,MATCH(F9,'3000 Pirineu'!$B$5:$B$219,0)),"No")</f>
        <v/>
      </c>
      <c r="H9" s="54">
        <f>IFERROR(IF(INDEX('3000 Pirineu'!$H$5:$H$219,MATCH(F9,'3000 Pirineu'!$B$5:$B$219,0))="","",INDEX('3000 Pirineu'!$H$5:$H$219,MATCH(F9,'3000 Pirineu'!$B$5:$B$219,0))),"")</f>
        <v/>
      </c>
    </row>
    <row r="10">
      <c r="A10" s="32" t="inlineStr">
        <is>
          <t>Pic de Comaloforno</t>
        </is>
      </c>
      <c r="B10" s="59" t="n">
        <v>3029.18</v>
      </c>
      <c r="C10" s="53" t="inlineStr">
        <is>
          <t>Z10 · Besiberri</t>
        </is>
      </c>
      <c r="D10" s="33" t="inlineStr">
        <is>
          <t>Vigent</t>
        </is>
      </c>
      <c r="E10" s="33" t="inlineStr">
        <is>
          <t>Principal</t>
        </is>
      </c>
      <c r="F10" s="60" t="inlineStr">
        <is>
          <t>Comaloforno</t>
        </is>
      </c>
      <c r="G10" s="33">
        <f>IFERROR(INDEX('3000 Pirineu'!$G$5:$G$219,MATCH(F10,'3000 Pirineu'!$B$5:$B$219,0)),"No")</f>
        <v/>
      </c>
      <c r="H10" s="54">
        <f>IFERROR(IF(INDEX('3000 Pirineu'!$H$5:$H$219,MATCH(F10,'3000 Pirineu'!$B$5:$B$219,0))="","",INDEX('3000 Pirineu'!$H$5:$H$219,MATCH(F10,'3000 Pirineu'!$B$5:$B$219,0))),"")</f>
        <v/>
      </c>
    </row>
    <row r="11">
      <c r="A11" s="32" t="inlineStr">
        <is>
          <t>Besiberri Sud</t>
        </is>
      </c>
      <c r="B11" s="59" t="n">
        <v>3023.4</v>
      </c>
      <c r="C11" s="53" t="inlineStr">
        <is>
          <t>Z10 · Besiberri</t>
        </is>
      </c>
      <c r="D11" s="33" t="inlineStr">
        <is>
          <t>Vigent</t>
        </is>
      </c>
      <c r="E11" s="33" t="inlineStr">
        <is>
          <t>Principal</t>
        </is>
      </c>
      <c r="F11" s="60" t="inlineStr">
        <is>
          <t>Besiberri S</t>
        </is>
      </c>
      <c r="G11" s="33">
        <f>IFERROR(INDEX('3000 Pirineu'!$G$5:$G$219,MATCH(F11,'3000 Pirineu'!$B$5:$B$219,0)),"No")</f>
        <v/>
      </c>
      <c r="H11" s="54">
        <f>IFERROR(IF(INDEX('3000 Pirineu'!$H$5:$H$219,MATCH(F11,'3000 Pirineu'!$B$5:$B$219,0))="","",INDEX('3000 Pirineu'!$H$5:$H$219,MATCH(F11,'3000 Pirineu'!$B$5:$B$219,0))),"")</f>
        <v/>
      </c>
    </row>
    <row r="12">
      <c r="A12" s="32" t="inlineStr">
        <is>
          <t>Punta Alta de Comalesbienes</t>
        </is>
      </c>
      <c r="B12" s="59" t="n">
        <v>3014.02</v>
      </c>
      <c r="C12" s="53" t="inlineStr">
        <is>
          <t>Z10 · Besiberri</t>
        </is>
      </c>
      <c r="D12" s="33" t="inlineStr">
        <is>
          <t>Vigent</t>
        </is>
      </c>
      <c r="E12" s="33" t="inlineStr">
        <is>
          <t>Principal</t>
        </is>
      </c>
      <c r="F12" s="60" t="inlineStr">
        <is>
          <t>Punta Alta (Comalesbienes)</t>
        </is>
      </c>
      <c r="G12" s="33">
        <f>IFERROR(INDEX('3000 Pirineu'!$G$5:$G$219,MATCH(F12,'3000 Pirineu'!$B$5:$B$219,0)),"No")</f>
        <v/>
      </c>
      <c r="H12" s="54">
        <f>IFERROR(IF(INDEX('3000 Pirineu'!$H$5:$H$219,MATCH(F12,'3000 Pirineu'!$B$5:$B$219,0))="","",INDEX('3000 Pirineu'!$H$5:$H$219,MATCH(F12,'3000 Pirineu'!$B$5:$B$219,0))),"")</f>
        <v/>
      </c>
    </row>
    <row r="13">
      <c r="A13" s="32" t="inlineStr">
        <is>
          <t>Agulla Sud de Malavesina</t>
        </is>
      </c>
      <c r="B13" s="59" t="n">
        <v>3011.7</v>
      </c>
      <c r="C13" s="53" t="inlineStr">
        <is>
          <t>Z10 · Besiberri</t>
        </is>
      </c>
      <c r="D13" s="33" t="inlineStr">
        <is>
          <t>Vigent</t>
        </is>
      </c>
      <c r="E13" s="33" t="inlineStr">
        <is>
          <t>No (només llista catalana)</t>
        </is>
      </c>
      <c r="F13" s="60" t="inlineStr">
        <is>
          <t>Agulla Sud de Malavesina</t>
        </is>
      </c>
      <c r="G13" s="33">
        <f>IFERROR(INDEX('3000 Pirineu'!$G$5:$G$219,MATCH(F13,'3000 Pirineu'!$B$5:$B$219,0)),"No")</f>
        <v/>
      </c>
      <c r="H13" s="54">
        <f>IFERROR(IF(INDEX('3000 Pirineu'!$H$5:$H$219,MATCH(F13,'3000 Pirineu'!$B$5:$B$219,0))="","",INDEX('3000 Pirineu'!$H$5:$H$219,MATCH(F13,'3000 Pirineu'!$B$5:$B$219,0))),"")</f>
        <v/>
      </c>
    </row>
    <row r="14">
      <c r="A14" s="32" t="inlineStr">
        <is>
          <t>Tuc de Molières</t>
        </is>
      </c>
      <c r="B14" s="59" t="n">
        <v>3010.08</v>
      </c>
      <c r="C14" s="53" t="inlineStr">
        <is>
          <t>Z9 · Maladeta-Aneto</t>
        </is>
      </c>
      <c r="D14" s="33" t="inlineStr">
        <is>
          <t>Vigent</t>
        </is>
      </c>
      <c r="E14" s="33" t="inlineStr">
        <is>
          <t>Principal</t>
        </is>
      </c>
      <c r="F14" s="60" t="inlineStr">
        <is>
          <t>Tuc de Mulleres (Molières)</t>
        </is>
      </c>
      <c r="G14" s="33">
        <f>IFERROR(INDEX('3000 Pirineu'!$G$5:$G$219,MATCH(F14,'3000 Pirineu'!$B$5:$B$219,0)),"No")</f>
        <v/>
      </c>
      <c r="H14" s="54">
        <f>IFERROR(IF(INDEX('3000 Pirineu'!$H$5:$H$219,MATCH(F14,'3000 Pirineu'!$B$5:$B$219,0))="","",INDEX('3000 Pirineu'!$H$5:$H$219,MATCH(F14,'3000 Pirineu'!$B$5:$B$219,0))),"")</f>
        <v/>
      </c>
    </row>
    <row r="15">
      <c r="A15" s="32" t="inlineStr">
        <is>
          <t>Agulla Nord de Malavesina</t>
        </is>
      </c>
      <c r="B15" s="59" t="n">
        <v>3009.9</v>
      </c>
      <c r="C15" s="53" t="inlineStr">
        <is>
          <t>Z10 · Besiberri</t>
        </is>
      </c>
      <c r="D15" s="33" t="inlineStr">
        <is>
          <t>Vigent</t>
        </is>
      </c>
      <c r="E15" s="33" t="inlineStr">
        <is>
          <t>No (només llista catalana)</t>
        </is>
      </c>
      <c r="F15" s="60" t="inlineStr">
        <is>
          <t>Agulla Nord de Malavesina</t>
        </is>
      </c>
      <c r="G15" s="33">
        <f>IFERROR(INDEX('3000 Pirineu'!$G$5:$G$219,MATCH(F15,'3000 Pirineu'!$B$5:$B$219,0)),"No")</f>
        <v/>
      </c>
      <c r="H15" s="54">
        <f>IFERROR(IF(INDEX('3000 Pirineu'!$H$5:$H$219,MATCH(F15,'3000 Pirineu'!$B$5:$B$219,0))="","",INDEX('3000 Pirineu'!$H$5:$H$219,MATCH(F15,'3000 Pirineu'!$B$5:$B$219,0))),"")</f>
        <v/>
      </c>
    </row>
    <row r="16">
      <c r="A16" s="32" t="inlineStr">
        <is>
          <t>Besiberri Nord</t>
        </is>
      </c>
      <c r="B16" s="59" t="n">
        <v>3008.27</v>
      </c>
      <c r="C16" s="53" t="inlineStr">
        <is>
          <t>Z10 · Besiberri</t>
        </is>
      </c>
      <c r="D16" s="33" t="inlineStr">
        <is>
          <t>Vigent</t>
        </is>
      </c>
      <c r="E16" s="33" t="inlineStr">
        <is>
          <t>Principal</t>
        </is>
      </c>
      <c r="F16" s="60" t="inlineStr">
        <is>
          <t>Besiberri N</t>
        </is>
      </c>
      <c r="G16" s="33">
        <f>IFERROR(INDEX('3000 Pirineu'!$G$5:$G$219,MATCH(F16,'3000 Pirineu'!$B$5:$B$219,0)),"No")</f>
        <v/>
      </c>
      <c r="H16" s="54">
        <f>IFERROR(IF(INDEX('3000 Pirineu'!$H$5:$H$219,MATCH(F16,'3000 Pirineu'!$B$5:$B$219,0))="","",INDEX('3000 Pirineu'!$H$5:$H$219,MATCH(F16,'3000 Pirineu'!$B$5:$B$219,0))),"")</f>
        <v/>
      </c>
    </row>
    <row r="17">
      <c r="A17" s="32" t="inlineStr">
        <is>
          <t>Rodó de Canalbona</t>
        </is>
      </c>
      <c r="B17" s="59" t="n">
        <v>3004.3</v>
      </c>
      <c r="C17" s="53" t="inlineStr">
        <is>
          <t>Z11 · Montcalm-Estats</t>
        </is>
      </c>
      <c r="D17" s="33" t="inlineStr">
        <is>
          <t>Vigent</t>
        </is>
      </c>
      <c r="E17" s="33" t="inlineStr">
        <is>
          <t>Secundari</t>
        </is>
      </c>
      <c r="F17" s="60" t="inlineStr">
        <is>
          <t>Rodó de Canalbona</t>
        </is>
      </c>
      <c r="G17" s="33">
        <f>IFERROR(INDEX('3000 Pirineu'!$G$5:$G$219,MATCH(F17,'3000 Pirineu'!$B$5:$B$219,0)),"No")</f>
        <v/>
      </c>
      <c r="H17" s="54">
        <f>IFERROR(IF(INDEX('3000 Pirineu'!$H$5:$H$219,MATCH(F17,'3000 Pirineu'!$B$5:$B$219,0))="","",INDEX('3000 Pirineu'!$H$5:$H$219,MATCH(F17,'3000 Pirineu'!$B$5:$B$219,0))),"")</f>
        <v/>
      </c>
    </row>
    <row r="18">
      <c r="A18" s="32" t="inlineStr">
        <is>
          <t>Punta de Passet</t>
        </is>
      </c>
      <c r="B18" s="59" t="n">
        <v>2997.6</v>
      </c>
      <c r="C18" s="53" t="inlineStr">
        <is>
          <t>Z10 · Besiberri</t>
        </is>
      </c>
      <c r="D18" s="33" t="inlineStr">
        <is>
          <t>Baixa (&lt;3000 m)</t>
        </is>
      </c>
      <c r="E18" s="33" t="inlineStr">
        <is>
          <t>Principal</t>
        </is>
      </c>
      <c r="F18" s="60" t="inlineStr">
        <is>
          <t>Pico Celesti Passet</t>
        </is>
      </c>
      <c r="G18" s="33">
        <f>IFERROR(INDEX('3000 Pirineu'!$G$5:$G$219,MATCH(F18,'3000 Pirineu'!$B$5:$B$219,0)),"No")</f>
        <v/>
      </c>
      <c r="H18" s="54">
        <f>IFERROR(IF(INDEX('3000 Pirineu'!$H$5:$H$219,MATCH(F18,'3000 Pirineu'!$B$5:$B$219,0))="","",INDEX('3000 Pirineu'!$H$5:$H$219,MATCH(F18,'3000 Pirineu'!$B$5:$B$219,0))),"")</f>
        <v/>
      </c>
    </row>
    <row r="19">
      <c r="A19" s="32" t="inlineStr">
        <is>
          <t>Besiberri del Mig N</t>
        </is>
      </c>
      <c r="B19" s="59" t="n">
        <v>2995.9</v>
      </c>
      <c r="C19" s="53" t="inlineStr">
        <is>
          <t>Z10 · Besiberri</t>
        </is>
      </c>
      <c r="D19" s="33" t="inlineStr">
        <is>
          <t>Baixa (&lt;3000 m)</t>
        </is>
      </c>
      <c r="E19" s="33" t="inlineStr">
        <is>
          <t>Principal</t>
        </is>
      </c>
      <c r="F19" s="60" t="inlineStr">
        <is>
          <t>Besiberri del Mig N</t>
        </is>
      </c>
      <c r="G19" s="33">
        <f>IFERROR(INDEX('3000 Pirineu'!$G$5:$G$219,MATCH(F19,'3000 Pirineu'!$B$5:$B$219,0)),"No")</f>
        <v/>
      </c>
      <c r="H19" s="54">
        <f>IFERROR(IF(INDEX('3000 Pirineu'!$H$5:$H$219,MATCH(F19,'3000 Pirineu'!$B$5:$B$219,0))="","",INDEX('3000 Pirineu'!$H$5:$H$219,MATCH(F19,'3000 Pirineu'!$B$5:$B$219,0))),"")</f>
        <v/>
      </c>
    </row>
    <row r="20">
      <c r="A20" s="32" t="inlineStr">
        <is>
          <t>Besiberri del Mig S</t>
        </is>
      </c>
      <c r="B20" s="59" t="n">
        <v>2995.2</v>
      </c>
      <c r="C20" s="53" t="inlineStr">
        <is>
          <t>Z10 · Besiberri</t>
        </is>
      </c>
      <c r="D20" s="33" t="inlineStr">
        <is>
          <t>Baixa (&lt;3000 m)</t>
        </is>
      </c>
      <c r="E20" s="33" t="inlineStr">
        <is>
          <t>Principal</t>
        </is>
      </c>
      <c r="F20" s="60" t="inlineStr">
        <is>
          <t>Besiberri del Mig S</t>
        </is>
      </c>
      <c r="G20" s="33">
        <f>IFERROR(INDEX('3000 Pirineu'!$G$5:$G$219,MATCH(F20,'3000 Pirineu'!$B$5:$B$219,0)),"No")</f>
        <v/>
      </c>
      <c r="H20" s="54">
        <f>IFERROR(IF(INDEX('3000 Pirineu'!$H$5:$H$219,MATCH(F20,'3000 Pirineu'!$B$5:$B$219,0))="","",INDEX('3000 Pirineu'!$H$5:$H$219,MATCH(F20,'3000 Pirineu'!$B$5:$B$219,0))),"")</f>
        <v/>
      </c>
    </row>
  </sheetData>
  <conditionalFormatting sqref="A5:H20">
    <cfRule type="expression" priority="1" dxfId="0">
      <formula>$G5="Sí"</formula>
    </cfRule>
  </conditionalFormatting>
  <conditionalFormatting sqref="G5:G20">
    <cfRule type="cellIs" priority="2" operator="equal" dxfId="2">
      <formula>"Sí"</formula>
    </cfRule>
    <cfRule type="cellIs" priority="3" operator="equal" dxfId="3">
      <formula>"No"</formula>
    </cfRule>
  </conditionalFormatting>
  <conditionalFormatting sqref="D5:D20">
    <cfRule type="cellIs" priority="4" operator="equal" dxfId="11">
      <formula>"Baixa (&lt;3000 m)"</formula>
    </cfRule>
  </conditionalFormatting>
  <conditionalFormatting sqref="E5:E20">
    <cfRule type="cellIs" priority="5" operator="equal" dxfId="7">
      <formula>"Principal"</formula>
    </cfRule>
    <cfRule type="cellIs" priority="6" operator="equal" dxfId="8">
      <formula>"Secundari"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E8B4A0"/>
    <outlinePr summaryBelow="1" summaryRight="1"/>
    <pageSetUpPr/>
  </sheetPr>
  <dimension ref="A1:M1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11" customWidth="1" min="3" max="3"/>
    <col width="24" customWidth="1" min="4" max="4"/>
    <col width="9" customWidth="1" min="5" max="5"/>
    <col width="13" customWidth="1" min="6" max="6"/>
    <col width="10" customWidth="1" min="7" max="7"/>
    <col width="12" customWidth="1" min="8" max="8"/>
    <col width="11" customWidth="1" min="9" max="9"/>
    <col width="40" customWidth="1" min="10" max="10"/>
    <col width="11" customWidth="1" min="11" max="11"/>
    <col width="11" customWidth="1" min="12" max="12"/>
    <col width="9" customWidth="1" min="13" max="13"/>
  </cols>
  <sheetData>
    <row r="1" ht="30" customHeight="1">
      <c r="A1" s="50" t="inlineStr">
        <is>
          <t>Els 4000 dels Alps · llista UIAA</t>
        </is>
      </c>
    </row>
    <row r="2" ht="18" customHeight="1">
      <c r="A2" s="2" t="inlineStr">
        <is>
          <t>128 cims (82 principals + 46 secundaris, llista UIAA de 1994) · columnes grogues editables · ordenat per altitud</t>
        </is>
      </c>
    </row>
    <row r="4" ht="32" customHeight="1">
      <c r="A4" s="29" t="inlineStr">
        <is>
          <t>Nº UIAA</t>
        </is>
      </c>
      <c r="B4" s="29" t="inlineStr">
        <is>
          <t>Cim</t>
        </is>
      </c>
      <c r="C4" s="29" t="inlineStr">
        <is>
          <t>Altitud (m)</t>
        </is>
      </c>
      <c r="D4" s="29" t="inlineStr">
        <is>
          <t>Massís</t>
        </is>
      </c>
      <c r="E4" s="29" t="inlineStr">
        <is>
          <t>País</t>
        </is>
      </c>
      <c r="F4" s="61" t="inlineStr">
        <is>
          <t>Llista UIAA</t>
        </is>
      </c>
      <c r="G4" s="51" t="inlineStr">
        <is>
          <t>Assolit</t>
        </is>
      </c>
      <c r="H4" s="51" t="inlineStr">
        <is>
          <t>Data</t>
        </is>
      </c>
      <c r="I4" s="29" t="inlineStr">
        <is>
          <t>Ascensions</t>
        </is>
      </c>
      <c r="J4" s="29" t="inlineStr">
        <is>
          <t>Dates de les ascensions</t>
        </is>
      </c>
      <c r="K4" s="29" t="inlineStr">
        <is>
          <t>Latitud</t>
        </is>
      </c>
      <c r="L4" s="29" t="inlineStr">
        <is>
          <t>Longitud</t>
        </is>
      </c>
      <c r="M4" s="29" t="inlineStr">
        <is>
          <t>Mapa</t>
        </is>
      </c>
    </row>
    <row r="5">
      <c r="A5" s="33" t="inlineStr">
        <is>
          <t>1</t>
        </is>
      </c>
      <c r="B5" s="32" t="inlineStr">
        <is>
          <t>Mont Blanc</t>
        </is>
      </c>
      <c r="C5" s="52" t="n">
        <v>4809</v>
      </c>
      <c r="D5" s="53" t="inlineStr">
        <is>
          <t>Massís del Mont Blanc</t>
        </is>
      </c>
      <c r="E5" s="33" t="inlineStr">
        <is>
          <t>FR/IT</t>
        </is>
      </c>
      <c r="F5" s="33" t="inlineStr">
        <is>
          <t>Principal</t>
        </is>
      </c>
      <c r="G5" s="33"/>
      <c r="H5" s="54"/>
      <c r="I5" s="33"/>
      <c r="J5" s="53"/>
      <c r="K5" s="55" t="n">
        <v>45.8328</v>
      </c>
      <c r="L5" s="55" t="n">
        <v>6.865</v>
      </c>
      <c r="M5" s="56" t="inlineStr">
        <is>
          <t>Mapa ↗</t>
        </is>
      </c>
    </row>
    <row r="6">
      <c r="A6" s="33" t="inlineStr">
        <is>
          <t>2</t>
        </is>
      </c>
      <c r="B6" s="32" t="inlineStr">
        <is>
          <t>Mont Blanc de Courmayeur</t>
        </is>
      </c>
      <c r="C6" s="52" t="n">
        <v>4748</v>
      </c>
      <c r="D6" s="53" t="inlineStr">
        <is>
          <t>Massís del Mont Blanc</t>
        </is>
      </c>
      <c r="E6" s="33" t="inlineStr">
        <is>
          <t>FR/IT</t>
        </is>
      </c>
      <c r="F6" s="33" t="inlineStr">
        <is>
          <t>Principal</t>
        </is>
      </c>
      <c r="G6" s="33"/>
      <c r="H6" s="54"/>
      <c r="I6" s="33"/>
      <c r="J6" s="53"/>
      <c r="K6" s="55" t="n">
        <v>45.8289</v>
      </c>
      <c r="L6" s="55" t="n">
        <v>6.8694</v>
      </c>
      <c r="M6" s="56" t="inlineStr">
        <is>
          <t>Mapa ↗</t>
        </is>
      </c>
    </row>
    <row r="7">
      <c r="A7" s="33" t="inlineStr">
        <is>
          <t>—</t>
        </is>
      </c>
      <c r="B7" s="32" t="inlineStr">
        <is>
          <t>Rocher de la Tournette</t>
        </is>
      </c>
      <c r="C7" s="52" t="n">
        <v>4677</v>
      </c>
      <c r="D7" s="53" t="inlineStr">
        <is>
          <t>Massís del Mont Blanc</t>
        </is>
      </c>
      <c r="E7" s="33" t="inlineStr">
        <is>
          <t>FR/IT</t>
        </is>
      </c>
      <c r="F7" s="33" t="inlineStr">
        <is>
          <t>Secundari</t>
        </is>
      </c>
      <c r="G7" s="33"/>
      <c r="H7" s="54"/>
      <c r="I7" s="33"/>
      <c r="J7" s="53"/>
      <c r="K7" s="55" t="n">
        <v>45.83278</v>
      </c>
      <c r="L7" s="55" t="n">
        <v>6.85944</v>
      </c>
      <c r="M7" s="56" t="inlineStr">
        <is>
          <t>Mapa ↗</t>
        </is>
      </c>
    </row>
    <row r="8">
      <c r="A8" s="33" t="inlineStr">
        <is>
          <t>3</t>
        </is>
      </c>
      <c r="B8" s="32" t="inlineStr">
        <is>
          <t>Dufourspitze</t>
        </is>
      </c>
      <c r="C8" s="52" t="n">
        <v>4634</v>
      </c>
      <c r="D8" s="53" t="inlineStr">
        <is>
          <t>Monte Rosa</t>
        </is>
      </c>
      <c r="E8" s="33" t="inlineStr">
        <is>
          <t>CH/IT</t>
        </is>
      </c>
      <c r="F8" s="33" t="inlineStr">
        <is>
          <t>Principal</t>
        </is>
      </c>
      <c r="G8" s="33"/>
      <c r="H8" s="54"/>
      <c r="I8" s="33"/>
      <c r="J8" s="53"/>
      <c r="K8" s="55" t="n">
        <v>45.9368</v>
      </c>
      <c r="L8" s="55" t="n">
        <v>7.8671</v>
      </c>
      <c r="M8" s="56" t="inlineStr">
        <is>
          <t>Mapa ↗</t>
        </is>
      </c>
    </row>
    <row r="9">
      <c r="A9" s="33" t="inlineStr">
        <is>
          <t>—</t>
        </is>
      </c>
      <c r="B9" s="32" t="inlineStr">
        <is>
          <t>Dunantspitze</t>
        </is>
      </c>
      <c r="C9" s="52" t="n">
        <v>4632</v>
      </c>
      <c r="D9" s="53" t="inlineStr">
        <is>
          <t>Monte Rosa</t>
        </is>
      </c>
      <c r="E9" s="33" t="inlineStr">
        <is>
          <t>CH</t>
        </is>
      </c>
      <c r="F9" s="33" t="inlineStr">
        <is>
          <t>Secundari</t>
        </is>
      </c>
      <c r="G9" s="33"/>
      <c r="H9" s="54"/>
      <c r="I9" s="33"/>
      <c r="J9" s="53"/>
      <c r="K9" s="55" t="n"/>
      <c r="L9" s="55" t="n"/>
      <c r="M9" s="33" t="n"/>
    </row>
    <row r="10">
      <c r="A10" s="33" t="inlineStr">
        <is>
          <t>—</t>
        </is>
      </c>
      <c r="B10" s="32" t="inlineStr">
        <is>
          <t>Grenzgipfel</t>
        </is>
      </c>
      <c r="C10" s="52" t="n">
        <v>4618</v>
      </c>
      <c r="D10" s="53" t="inlineStr">
        <is>
          <t>Monte Rosa</t>
        </is>
      </c>
      <c r="E10" s="33" t="inlineStr">
        <is>
          <t>CH/IT</t>
        </is>
      </c>
      <c r="F10" s="33" t="inlineStr">
        <is>
          <t>Secundari</t>
        </is>
      </c>
      <c r="G10" s="33"/>
      <c r="H10" s="54"/>
      <c r="I10" s="33"/>
      <c r="J10" s="53"/>
      <c r="K10" s="55" t="n">
        <v>45.93675</v>
      </c>
      <c r="L10" s="55" t="n">
        <v>7.868</v>
      </c>
      <c r="M10" s="56" t="inlineStr">
        <is>
          <t>Mapa ↗</t>
        </is>
      </c>
    </row>
    <row r="11">
      <c r="A11" s="33" t="inlineStr">
        <is>
          <t>4</t>
        </is>
      </c>
      <c r="B11" s="32" t="inlineStr">
        <is>
          <t>Nordend</t>
        </is>
      </c>
      <c r="C11" s="52" t="n">
        <v>4609</v>
      </c>
      <c r="D11" s="53" t="inlineStr">
        <is>
          <t>Monte Rosa</t>
        </is>
      </c>
      <c r="E11" s="33" t="inlineStr">
        <is>
          <t>CH/IT</t>
        </is>
      </c>
      <c r="F11" s="33" t="inlineStr">
        <is>
          <t>Principal</t>
        </is>
      </c>
      <c r="G11" s="33"/>
      <c r="H11" s="54"/>
      <c r="I11" s="33"/>
      <c r="J11" s="53"/>
      <c r="K11" s="55" t="n">
        <v>45.9422</v>
      </c>
      <c r="L11" s="55" t="n">
        <v>7.87</v>
      </c>
      <c r="M11" s="56" t="inlineStr">
        <is>
          <t>Mapa ↗</t>
        </is>
      </c>
    </row>
    <row r="12">
      <c r="A12" s="33" t="inlineStr">
        <is>
          <t>5</t>
        </is>
      </c>
      <c r="B12" s="32" t="inlineStr">
        <is>
          <t>Zumsteinspitze</t>
        </is>
      </c>
      <c r="C12" s="52" t="n">
        <v>4563</v>
      </c>
      <c r="D12" s="53" t="inlineStr">
        <is>
          <t>Monte Rosa</t>
        </is>
      </c>
      <c r="E12" s="33" t="inlineStr">
        <is>
          <t>CH/IT</t>
        </is>
      </c>
      <c r="F12" s="33" t="inlineStr">
        <is>
          <t>Principal</t>
        </is>
      </c>
      <c r="G12" s="33"/>
      <c r="H12" s="54"/>
      <c r="I12" s="33"/>
      <c r="J12" s="53"/>
      <c r="K12" s="55" t="n">
        <v>45.9319</v>
      </c>
      <c r="L12" s="55" t="n">
        <v>7.8714</v>
      </c>
      <c r="M12" s="56" t="inlineStr">
        <is>
          <t>Mapa ↗</t>
        </is>
      </c>
    </row>
    <row r="13">
      <c r="A13" s="33" t="inlineStr">
        <is>
          <t>6</t>
        </is>
      </c>
      <c r="B13" s="32" t="inlineStr">
        <is>
          <t>Signalkuppe (Punta Gnifetti)</t>
        </is>
      </c>
      <c r="C13" s="52" t="n">
        <v>4554</v>
      </c>
      <c r="D13" s="53" t="inlineStr">
        <is>
          <t>Monte Rosa</t>
        </is>
      </c>
      <c r="E13" s="33" t="inlineStr">
        <is>
          <t>CH/IT</t>
        </is>
      </c>
      <c r="F13" s="33" t="inlineStr">
        <is>
          <t>Principal</t>
        </is>
      </c>
      <c r="G13" s="33"/>
      <c r="H13" s="54"/>
      <c r="I13" s="33"/>
      <c r="J13" s="53"/>
      <c r="K13" s="55" t="n">
        <v>45.9272</v>
      </c>
      <c r="L13" s="55" t="n">
        <v>7.8769</v>
      </c>
      <c r="M13" s="56" t="inlineStr">
        <is>
          <t>Mapa ↗</t>
        </is>
      </c>
    </row>
    <row r="14">
      <c r="A14" s="33" t="inlineStr">
        <is>
          <t>—</t>
        </is>
      </c>
      <c r="B14" s="32" t="inlineStr">
        <is>
          <t>Les Bosses</t>
        </is>
      </c>
      <c r="C14" s="52" t="n">
        <v>4547</v>
      </c>
      <c r="D14" s="53" t="inlineStr">
        <is>
          <t>Massís del Mont Blanc</t>
        </is>
      </c>
      <c r="E14" s="33" t="inlineStr">
        <is>
          <t>FR/IT</t>
        </is>
      </c>
      <c r="F14" s="33" t="inlineStr">
        <is>
          <t>Secundari</t>
        </is>
      </c>
      <c r="G14" s="33"/>
      <c r="H14" s="54"/>
      <c r="I14" s="33"/>
      <c r="J14" s="53"/>
      <c r="K14" s="55" t="n">
        <v>45.835028</v>
      </c>
      <c r="L14" s="55" t="n">
        <v>6.856078</v>
      </c>
      <c r="M14" s="56" t="inlineStr">
        <is>
          <t>Mapa ↗</t>
        </is>
      </c>
    </row>
    <row r="15">
      <c r="A15" s="33" t="inlineStr">
        <is>
          <t>7</t>
        </is>
      </c>
      <c r="B15" s="32" t="inlineStr">
        <is>
          <t>Dom</t>
        </is>
      </c>
      <c r="C15" s="52" t="n">
        <v>4545</v>
      </c>
      <c r="D15" s="53" t="inlineStr">
        <is>
          <t>Mischabel</t>
        </is>
      </c>
      <c r="E15" s="33" t="inlineStr">
        <is>
          <t>CH</t>
        </is>
      </c>
      <c r="F15" s="33" t="inlineStr">
        <is>
          <t>Principal</t>
        </is>
      </c>
      <c r="G15" s="33"/>
      <c r="H15" s="54"/>
      <c r="I15" s="33"/>
      <c r="J15" s="53"/>
      <c r="K15" s="55" t="n">
        <v>46.095</v>
      </c>
      <c r="L15" s="55" t="n">
        <v>7.86</v>
      </c>
      <c r="M15" s="56" t="inlineStr">
        <is>
          <t>Mapa ↗</t>
        </is>
      </c>
    </row>
    <row r="16">
      <c r="A16" s="33" t="inlineStr">
        <is>
          <t>8</t>
        </is>
      </c>
      <c r="B16" s="32" t="inlineStr">
        <is>
          <t>Liskamm Est</t>
        </is>
      </c>
      <c r="C16" s="52" t="n">
        <v>4527</v>
      </c>
      <c r="D16" s="53" t="inlineStr">
        <is>
          <t>Alps Penins</t>
        </is>
      </c>
      <c r="E16" s="33" t="inlineStr">
        <is>
          <t>CH/IT</t>
        </is>
      </c>
      <c r="F16" s="33" t="inlineStr">
        <is>
          <t>Principal</t>
        </is>
      </c>
      <c r="G16" s="33"/>
      <c r="H16" s="54"/>
      <c r="I16" s="33"/>
      <c r="J16" s="53"/>
      <c r="K16" s="55" t="n">
        <v>45.9225</v>
      </c>
      <c r="L16" s="55" t="n">
        <v>7.8356</v>
      </c>
      <c r="M16" s="56" t="inlineStr">
        <is>
          <t>Mapa ↗</t>
        </is>
      </c>
    </row>
    <row r="17">
      <c r="A17" s="33" t="inlineStr">
        <is>
          <t>—</t>
        </is>
      </c>
      <c r="B17" s="32" t="inlineStr">
        <is>
          <t>La Grande Bosse</t>
        </is>
      </c>
      <c r="C17" s="52" t="n">
        <v>4513</v>
      </c>
      <c r="D17" s="53" t="inlineStr">
        <is>
          <t>Massís del Mont Blanc</t>
        </is>
      </c>
      <c r="E17" s="33" t="inlineStr">
        <is>
          <t>FR/IT</t>
        </is>
      </c>
      <c r="F17" s="33" t="inlineStr">
        <is>
          <t>Secundari</t>
        </is>
      </c>
      <c r="G17" s="33"/>
      <c r="H17" s="54"/>
      <c r="I17" s="33"/>
      <c r="J17" s="53"/>
      <c r="K17" s="55" t="n"/>
      <c r="L17" s="55" t="n"/>
      <c r="M17" s="33" t="n"/>
    </row>
    <row r="18">
      <c r="A18" s="33" t="inlineStr">
        <is>
          <t>9</t>
        </is>
      </c>
      <c r="B18" s="32" t="inlineStr">
        <is>
          <t>Weisshorn</t>
        </is>
      </c>
      <c r="C18" s="52" t="n">
        <v>4505</v>
      </c>
      <c r="D18" s="53" t="inlineStr">
        <is>
          <t>Alps Penins</t>
        </is>
      </c>
      <c r="E18" s="33" t="inlineStr">
        <is>
          <t>CH</t>
        </is>
      </c>
      <c r="F18" s="33" t="inlineStr">
        <is>
          <t>Principal</t>
        </is>
      </c>
      <c r="G18" s="33"/>
      <c r="H18" s="54"/>
      <c r="I18" s="33"/>
      <c r="J18" s="53"/>
      <c r="K18" s="55" t="n">
        <v>46.1017</v>
      </c>
      <c r="L18" s="55" t="n">
        <v>7.7161</v>
      </c>
      <c r="M18" s="56" t="inlineStr">
        <is>
          <t>Mapa ↗</t>
        </is>
      </c>
    </row>
    <row r="19">
      <c r="A19" s="33" t="inlineStr">
        <is>
          <t>10</t>
        </is>
      </c>
      <c r="B19" s="32" t="inlineStr">
        <is>
          <t>Täschhorn</t>
        </is>
      </c>
      <c r="C19" s="52" t="n">
        <v>4491</v>
      </c>
      <c r="D19" s="53" t="inlineStr">
        <is>
          <t>Mischabel</t>
        </is>
      </c>
      <c r="E19" s="33" t="inlineStr">
        <is>
          <t>CH</t>
        </is>
      </c>
      <c r="F19" s="33" t="inlineStr">
        <is>
          <t>Principal</t>
        </is>
      </c>
      <c r="G19" s="33"/>
      <c r="H19" s="54"/>
      <c r="I19" s="33"/>
      <c r="J19" s="53"/>
      <c r="K19" s="55" t="n">
        <v>46.0836</v>
      </c>
      <c r="L19" s="55" t="n">
        <v>7.8572</v>
      </c>
      <c r="M19" s="56" t="inlineStr">
        <is>
          <t>Mapa ↗</t>
        </is>
      </c>
    </row>
    <row r="20">
      <c r="A20" s="33" t="inlineStr">
        <is>
          <t>11</t>
        </is>
      </c>
      <c r="B20" s="32" t="inlineStr">
        <is>
          <t>Liskamm Oest</t>
        </is>
      </c>
      <c r="C20" s="52" t="n">
        <v>4479</v>
      </c>
      <c r="D20" s="53" t="inlineStr">
        <is>
          <t>Alps Penins</t>
        </is>
      </c>
      <c r="E20" s="33" t="inlineStr">
        <is>
          <t>CH/IT</t>
        </is>
      </c>
      <c r="F20" s="33" t="inlineStr">
        <is>
          <t>Principal</t>
        </is>
      </c>
      <c r="G20" s="33"/>
      <c r="H20" s="54"/>
      <c r="I20" s="33"/>
      <c r="J20" s="53"/>
      <c r="K20" s="55" t="n">
        <v>45.9265</v>
      </c>
      <c r="L20" s="55" t="n">
        <v>7.8233</v>
      </c>
      <c r="M20" s="56" t="inlineStr">
        <is>
          <t>Mapa ↗</t>
        </is>
      </c>
    </row>
    <row r="21">
      <c r="A21" s="33" t="inlineStr">
        <is>
          <t>12</t>
        </is>
      </c>
      <c r="B21" s="32" t="inlineStr">
        <is>
          <t>Matterhorn (Cervino)</t>
        </is>
      </c>
      <c r="C21" s="52" t="n">
        <v>4478</v>
      </c>
      <c r="D21" s="53" t="inlineStr">
        <is>
          <t>Alps Penins</t>
        </is>
      </c>
      <c r="E21" s="33" t="inlineStr">
        <is>
          <t>CH/IT</t>
        </is>
      </c>
      <c r="F21" s="33" t="inlineStr">
        <is>
          <t>Principal</t>
        </is>
      </c>
      <c r="G21" s="33"/>
      <c r="H21" s="54"/>
      <c r="I21" s="33"/>
      <c r="J21" s="53"/>
      <c r="K21" s="55" t="n">
        <v>45.9764</v>
      </c>
      <c r="L21" s="55" t="n">
        <v>7.6586</v>
      </c>
      <c r="M21" s="56" t="inlineStr">
        <is>
          <t>Mapa ↗</t>
        </is>
      </c>
    </row>
    <row r="22">
      <c r="A22" s="33" t="inlineStr">
        <is>
          <t>—</t>
        </is>
      </c>
      <c r="B22" s="32" t="inlineStr">
        <is>
          <t>Cervino, cim italià</t>
        </is>
      </c>
      <c r="C22" s="52" t="n">
        <v>4476</v>
      </c>
      <c r="D22" s="53" t="inlineStr">
        <is>
          <t>Alps Penins</t>
        </is>
      </c>
      <c r="E22" s="33" t="inlineStr">
        <is>
          <t>CH/IT</t>
        </is>
      </c>
      <c r="F22" s="33" t="inlineStr">
        <is>
          <t>Secundari</t>
        </is>
      </c>
      <c r="G22" s="33"/>
      <c r="H22" s="54"/>
      <c r="I22" s="33"/>
      <c r="J22" s="53"/>
      <c r="K22" s="55" t="n"/>
      <c r="L22" s="55" t="n"/>
      <c r="M22" s="33" t="n"/>
    </row>
    <row r="23">
      <c r="A23" s="33" t="inlineStr">
        <is>
          <t>13</t>
        </is>
      </c>
      <c r="B23" s="32" t="inlineStr">
        <is>
          <t>Picco Luigi Amedeo</t>
        </is>
      </c>
      <c r="C23" s="52" t="n">
        <v>4469</v>
      </c>
      <c r="D23" s="53" t="inlineStr">
        <is>
          <t>Massís del Mont Blanc</t>
        </is>
      </c>
      <c r="E23" s="33" t="inlineStr">
        <is>
          <t>IT</t>
        </is>
      </c>
      <c r="F23" s="33" t="inlineStr">
        <is>
          <t>Principal</t>
        </is>
      </c>
      <c r="G23" s="33"/>
      <c r="H23" s="54"/>
      <c r="I23" s="33"/>
      <c r="J23" s="53"/>
      <c r="K23" s="55" t="n">
        <v>45.8244</v>
      </c>
      <c r="L23" s="55" t="n">
        <v>6.8682</v>
      </c>
      <c r="M23" s="56" t="inlineStr">
        <is>
          <t>Mapa ↗</t>
        </is>
      </c>
    </row>
    <row r="24">
      <c r="A24" s="33" t="inlineStr">
        <is>
          <t>—</t>
        </is>
      </c>
      <c r="B24" s="32" t="inlineStr">
        <is>
          <t>Dom (Grosser Gendarm)</t>
        </is>
      </c>
      <c r="C24" s="52" t="n">
        <v>4468</v>
      </c>
      <c r="D24" s="53" t="inlineStr">
        <is>
          <t>Mischabel</t>
        </is>
      </c>
      <c r="E24" s="33" t="inlineStr">
        <is>
          <t>CH</t>
        </is>
      </c>
      <c r="F24" s="33" t="inlineStr">
        <is>
          <t>Secundari</t>
        </is>
      </c>
      <c r="G24" s="33"/>
      <c r="H24" s="54"/>
      <c r="I24" s="33"/>
      <c r="J24" s="53"/>
      <c r="K24" s="55" t="n"/>
      <c r="L24" s="55" t="n"/>
      <c r="M24" s="33" t="n"/>
    </row>
    <row r="25">
      <c r="A25" s="33" t="inlineStr">
        <is>
          <t>14</t>
        </is>
      </c>
      <c r="B25" s="32" t="inlineStr">
        <is>
          <t>Mont Maudit</t>
        </is>
      </c>
      <c r="C25" s="52" t="n">
        <v>4465</v>
      </c>
      <c r="D25" s="53" t="inlineStr">
        <is>
          <t>Massís del Mont Blanc</t>
        </is>
      </c>
      <c r="E25" s="33" t="inlineStr">
        <is>
          <t>FR/IT</t>
        </is>
      </c>
      <c r="F25" s="33" t="inlineStr">
        <is>
          <t>Principal</t>
        </is>
      </c>
      <c r="G25" s="33"/>
      <c r="H25" s="54"/>
      <c r="I25" s="33"/>
      <c r="J25" s="53"/>
      <c r="K25" s="55" t="n">
        <v>45.8478</v>
      </c>
      <c r="L25" s="55" t="n">
        <v>6.8758</v>
      </c>
      <c r="M25" s="56" t="inlineStr">
        <is>
          <t>Mapa ↗</t>
        </is>
      </c>
    </row>
    <row r="26">
      <c r="A26" s="33" t="inlineStr">
        <is>
          <t>15</t>
        </is>
      </c>
      <c r="B26" s="32" t="inlineStr">
        <is>
          <t>Parrotspitze</t>
        </is>
      </c>
      <c r="C26" s="52" t="n">
        <v>4432</v>
      </c>
      <c r="D26" s="53" t="inlineStr">
        <is>
          <t>Monte Rosa</t>
        </is>
      </c>
      <c r="E26" s="33" t="inlineStr">
        <is>
          <t>CH/IT</t>
        </is>
      </c>
      <c r="F26" s="33" t="inlineStr">
        <is>
          <t>Principal</t>
        </is>
      </c>
      <c r="G26" s="33"/>
      <c r="H26" s="54"/>
      <c r="I26" s="33"/>
      <c r="J26" s="53"/>
      <c r="K26" s="55" t="n">
        <v>45.9197</v>
      </c>
      <c r="L26" s="55" t="n">
        <v>7.8714</v>
      </c>
      <c r="M26" s="56" t="inlineStr">
        <is>
          <t>Mapa ↗</t>
        </is>
      </c>
    </row>
    <row r="27">
      <c r="A27" s="33" t="inlineStr">
        <is>
          <t>16</t>
        </is>
      </c>
      <c r="B27" s="32" t="inlineStr">
        <is>
          <t>Dent Blanche</t>
        </is>
      </c>
      <c r="C27" s="52" t="n">
        <v>4357</v>
      </c>
      <c r="D27" s="53" t="inlineStr">
        <is>
          <t>Alps Penins</t>
        </is>
      </c>
      <c r="E27" s="33" t="inlineStr">
        <is>
          <t>CH</t>
        </is>
      </c>
      <c r="F27" s="33" t="inlineStr">
        <is>
          <t>Principal</t>
        </is>
      </c>
      <c r="G27" s="33"/>
      <c r="H27" s="54"/>
      <c r="I27" s="33"/>
      <c r="J27" s="53"/>
      <c r="K27" s="55" t="n">
        <v>46.0342</v>
      </c>
      <c r="L27" s="55" t="n">
        <v>7.6119</v>
      </c>
      <c r="M27" s="56" t="inlineStr">
        <is>
          <t>Mapa ↗</t>
        </is>
      </c>
    </row>
    <row r="28">
      <c r="A28" s="33" t="inlineStr">
        <is>
          <t>—</t>
        </is>
      </c>
      <c r="B28" s="32" t="inlineStr">
        <is>
          <t>Aiguille de la Belle Étoile</t>
        </is>
      </c>
      <c r="C28" s="52" t="n">
        <v>4349</v>
      </c>
      <c r="D28" s="53" t="inlineStr">
        <is>
          <t>Massís del Mont Blanc</t>
        </is>
      </c>
      <c r="E28" s="33" t="inlineStr">
        <is>
          <t>IT</t>
        </is>
      </c>
      <c r="F28" s="33" t="inlineStr">
        <is>
          <t>Secundari</t>
        </is>
      </c>
      <c r="G28" s="33"/>
      <c r="H28" s="54"/>
      <c r="I28" s="33"/>
      <c r="J28" s="53"/>
      <c r="K28" s="55" t="n"/>
      <c r="L28" s="55" t="n"/>
      <c r="M28" s="33" t="n"/>
    </row>
    <row r="29">
      <c r="A29" s="33" t="inlineStr">
        <is>
          <t>17</t>
        </is>
      </c>
      <c r="B29" s="32" t="inlineStr">
        <is>
          <t>Ludwigshöhe</t>
        </is>
      </c>
      <c r="C29" s="52" t="n">
        <v>4341</v>
      </c>
      <c r="D29" s="53" t="inlineStr">
        <is>
          <t>Monte Rosa</t>
        </is>
      </c>
      <c r="E29" s="33" t="inlineStr">
        <is>
          <t>CH/IT</t>
        </is>
      </c>
      <c r="F29" s="33" t="inlineStr">
        <is>
          <t>Principal</t>
        </is>
      </c>
      <c r="G29" s="33"/>
      <c r="H29" s="54"/>
      <c r="I29" s="33"/>
      <c r="J29" s="53"/>
      <c r="K29" s="55" t="n">
        <v>45.9172</v>
      </c>
      <c r="L29" s="55" t="n">
        <v>7.8622</v>
      </c>
      <c r="M29" s="56" t="inlineStr">
        <is>
          <t>Mapa ↗</t>
        </is>
      </c>
    </row>
    <row r="30">
      <c r="A30" s="33" t="inlineStr">
        <is>
          <t>—</t>
        </is>
      </c>
      <c r="B30" s="32" t="inlineStr">
        <is>
          <t>Grand Gendarme (Weisshorn)</t>
        </is>
      </c>
      <c r="C30" s="52" t="n">
        <v>4331</v>
      </c>
      <c r="D30" s="53" t="inlineStr">
        <is>
          <t>Alps Penins</t>
        </is>
      </c>
      <c r="E30" s="33" t="inlineStr">
        <is>
          <t>CH</t>
        </is>
      </c>
      <c r="F30" s="33" t="inlineStr">
        <is>
          <t>Secundari</t>
        </is>
      </c>
      <c r="G30" s="33"/>
      <c r="H30" s="54"/>
      <c r="I30" s="33"/>
      <c r="J30" s="53"/>
      <c r="K30" s="55" t="n">
        <v>46.1083</v>
      </c>
      <c r="L30" s="55" t="n">
        <v>7.7127</v>
      </c>
      <c r="M30" s="56" t="inlineStr">
        <is>
          <t>Mapa ↗</t>
        </is>
      </c>
    </row>
    <row r="31">
      <c r="A31" s="33" t="inlineStr">
        <is>
          <t>18</t>
        </is>
      </c>
      <c r="B31" s="32" t="inlineStr">
        <is>
          <t>Nadelhorn</t>
        </is>
      </c>
      <c r="C31" s="52" t="n">
        <v>4327</v>
      </c>
      <c r="D31" s="53" t="inlineStr">
        <is>
          <t>Mischabel</t>
        </is>
      </c>
      <c r="E31" s="33" t="inlineStr">
        <is>
          <t>CH</t>
        </is>
      </c>
      <c r="F31" s="33" t="inlineStr">
        <is>
          <t>Principal</t>
        </is>
      </c>
      <c r="G31" s="33"/>
      <c r="H31" s="54"/>
      <c r="I31" s="33"/>
      <c r="J31" s="53"/>
      <c r="K31" s="55" t="n">
        <v>46.1088</v>
      </c>
      <c r="L31" s="55" t="n">
        <v>7.8642</v>
      </c>
      <c r="M31" s="56" t="inlineStr">
        <is>
          <t>Mapa ↗</t>
        </is>
      </c>
    </row>
    <row r="32">
      <c r="A32" s="33" t="inlineStr">
        <is>
          <t>19</t>
        </is>
      </c>
      <c r="B32" s="32" t="inlineStr">
        <is>
          <t>Schwarzhorn (Corno Nero)</t>
        </is>
      </c>
      <c r="C32" s="52" t="n">
        <v>4322</v>
      </c>
      <c r="D32" s="53" t="inlineStr">
        <is>
          <t>Monte Rosa</t>
        </is>
      </c>
      <c r="E32" s="33" t="inlineStr">
        <is>
          <t>IT</t>
        </is>
      </c>
      <c r="F32" s="33" t="inlineStr">
        <is>
          <t>Principal</t>
        </is>
      </c>
      <c r="G32" s="33"/>
      <c r="H32" s="54"/>
      <c r="I32" s="33"/>
      <c r="J32" s="53"/>
      <c r="K32" s="55" t="n">
        <v>45.9149</v>
      </c>
      <c r="L32" s="55" t="n">
        <v>7.862</v>
      </c>
      <c r="M32" s="56" t="inlineStr">
        <is>
          <t>Mapa ↗</t>
        </is>
      </c>
    </row>
    <row r="33">
      <c r="A33" s="33" t="inlineStr">
        <is>
          <t>20</t>
        </is>
      </c>
      <c r="B33" s="32" t="inlineStr">
        <is>
          <t>Grand Combin de Grafeneire</t>
        </is>
      </c>
      <c r="C33" s="52" t="n">
        <v>4314</v>
      </c>
      <c r="D33" s="53" t="inlineStr">
        <is>
          <t>Grand Combin</t>
        </is>
      </c>
      <c r="E33" s="33" t="inlineStr">
        <is>
          <t>CH</t>
        </is>
      </c>
      <c r="F33" s="33" t="inlineStr">
        <is>
          <t>Principal</t>
        </is>
      </c>
      <c r="G33" s="33"/>
      <c r="H33" s="54"/>
      <c r="I33" s="33"/>
      <c r="J33" s="53"/>
      <c r="K33" s="55" t="n">
        <v>45.9375</v>
      </c>
      <c r="L33" s="55" t="n">
        <v>7.2992</v>
      </c>
      <c r="M33" s="56" t="inlineStr">
        <is>
          <t>Mapa ↗</t>
        </is>
      </c>
    </row>
    <row r="34">
      <c r="A34" s="33" t="inlineStr">
        <is>
          <t>21</t>
        </is>
      </c>
      <c r="B34" s="32" t="inlineStr">
        <is>
          <t>Dôme du Goûter</t>
        </is>
      </c>
      <c r="C34" s="52" t="n">
        <v>4304</v>
      </c>
      <c r="D34" s="53" t="inlineStr">
        <is>
          <t>Massís del Mont Blanc</t>
        </is>
      </c>
      <c r="E34" s="33" t="inlineStr">
        <is>
          <t>FR/IT</t>
        </is>
      </c>
      <c r="F34" s="33" t="inlineStr">
        <is>
          <t>Principal</t>
        </is>
      </c>
      <c r="G34" s="33"/>
      <c r="H34" s="54"/>
      <c r="I34" s="33"/>
      <c r="J34" s="53"/>
      <c r="K34" s="55" t="n">
        <v>45.8428</v>
      </c>
      <c r="L34" s="55" t="n">
        <v>6.8433</v>
      </c>
      <c r="M34" s="56" t="inlineStr">
        <is>
          <t>Mapa ↗</t>
        </is>
      </c>
    </row>
    <row r="35">
      <c r="A35" s="33" t="inlineStr">
        <is>
          <t>22</t>
        </is>
      </c>
      <c r="B35" s="32" t="inlineStr">
        <is>
          <t>Lenzspitze</t>
        </is>
      </c>
      <c r="C35" s="52" t="n">
        <v>4294</v>
      </c>
      <c r="D35" s="53" t="inlineStr">
        <is>
          <t>Mischabel</t>
        </is>
      </c>
      <c r="E35" s="33" t="inlineStr">
        <is>
          <t>CH</t>
        </is>
      </c>
      <c r="F35" s="33" t="inlineStr">
        <is>
          <t>Principal</t>
        </is>
      </c>
      <c r="G35" s="33"/>
      <c r="H35" s="54"/>
      <c r="I35" s="33"/>
      <c r="J35" s="53"/>
      <c r="K35" s="55" t="n">
        <v>46.1046</v>
      </c>
      <c r="L35" s="55" t="n">
        <v>7.8684</v>
      </c>
      <c r="M35" s="56" t="inlineStr">
        <is>
          <t>Mapa ↗</t>
        </is>
      </c>
    </row>
    <row r="36">
      <c r="A36" s="33" t="inlineStr">
        <is>
          <t>—</t>
        </is>
      </c>
      <c r="B36" s="32" t="inlineStr">
        <is>
          <t>Pointe Mieulet</t>
        </is>
      </c>
      <c r="C36" s="52" t="n">
        <v>4287</v>
      </c>
      <c r="D36" s="53" t="inlineStr">
        <is>
          <t>Massís del Mont Blanc</t>
        </is>
      </c>
      <c r="E36" s="33" t="inlineStr">
        <is>
          <t>FR</t>
        </is>
      </c>
      <c r="F36" s="33" t="inlineStr">
        <is>
          <t>Secundari</t>
        </is>
      </c>
      <c r="G36" s="33"/>
      <c r="H36" s="54"/>
      <c r="I36" s="33"/>
      <c r="J36" s="53"/>
      <c r="K36" s="55" t="n">
        <v>45.850457</v>
      </c>
      <c r="L36" s="55" t="n">
        <v>6.872121</v>
      </c>
      <c r="M36" s="56" t="inlineStr">
        <is>
          <t>Mapa ↗</t>
        </is>
      </c>
    </row>
    <row r="37">
      <c r="A37" s="33" t="inlineStr">
        <is>
          <t>23</t>
        </is>
      </c>
      <c r="B37" s="32" t="inlineStr">
        <is>
          <t>Finsteraarhorn</t>
        </is>
      </c>
      <c r="C37" s="52" t="n">
        <v>4274</v>
      </c>
      <c r="D37" s="53" t="inlineStr">
        <is>
          <t>Alps Bernesos</t>
        </is>
      </c>
      <c r="E37" s="33" t="inlineStr">
        <is>
          <t>CH</t>
        </is>
      </c>
      <c r="F37" s="33" t="inlineStr">
        <is>
          <t>Principal</t>
        </is>
      </c>
      <c r="G37" s="33"/>
      <c r="H37" s="54"/>
      <c r="I37" s="33"/>
      <c r="J37" s="53"/>
      <c r="K37" s="55" t="n">
        <v>46.5375</v>
      </c>
      <c r="L37" s="55" t="n">
        <v>8.125999999999999</v>
      </c>
      <c r="M37" s="56" t="inlineStr">
        <is>
          <t>Mapa ↗</t>
        </is>
      </c>
    </row>
    <row r="38">
      <c r="A38" s="33" t="inlineStr">
        <is>
          <t>—</t>
        </is>
      </c>
      <c r="B38" s="32" t="inlineStr">
        <is>
          <t>Liskammnase</t>
        </is>
      </c>
      <c r="C38" s="52" t="n">
        <v>4272</v>
      </c>
      <c r="D38" s="53" t="inlineStr">
        <is>
          <t>Alps Penins</t>
        </is>
      </c>
      <c r="E38" s="33" t="inlineStr">
        <is>
          <t>CH/IT</t>
        </is>
      </c>
      <c r="F38" s="33" t="inlineStr">
        <is>
          <t>Secundari</t>
        </is>
      </c>
      <c r="G38" s="33"/>
      <c r="H38" s="54"/>
      <c r="I38" s="33"/>
      <c r="J38" s="53"/>
      <c r="K38" s="55" t="n">
        <v>45.916671</v>
      </c>
      <c r="L38" s="55" t="n">
        <v>7.835355</v>
      </c>
      <c r="M38" s="56" t="inlineStr">
        <is>
          <t>Mapa ↗</t>
        </is>
      </c>
    </row>
    <row r="39">
      <c r="A39" s="33" t="inlineStr">
        <is>
          <t>—</t>
        </is>
      </c>
      <c r="B39" s="32" t="inlineStr">
        <is>
          <t>Pointe Bayeux</t>
        </is>
      </c>
      <c r="C39" s="52" t="n">
        <v>4258</v>
      </c>
      <c r="D39" s="53" t="inlineStr">
        <is>
          <t>Massís del Mont Blanc</t>
        </is>
      </c>
      <c r="E39" s="33" t="inlineStr">
        <is>
          <t>FR</t>
        </is>
      </c>
      <c r="F39" s="33" t="inlineStr">
        <is>
          <t>Secundari</t>
        </is>
      </c>
      <c r="G39" s="33"/>
      <c r="H39" s="54"/>
      <c r="I39" s="33"/>
      <c r="J39" s="53"/>
      <c r="K39" s="55" t="n">
        <v>45.84639</v>
      </c>
      <c r="L39" s="55" t="n">
        <v>6.84389</v>
      </c>
      <c r="M39" s="56" t="inlineStr">
        <is>
          <t>Mapa ↗</t>
        </is>
      </c>
    </row>
    <row r="40">
      <c r="A40" s="33" t="inlineStr">
        <is>
          <t>24</t>
        </is>
      </c>
      <c r="B40" s="32" t="inlineStr">
        <is>
          <t>Mont Blanc du Tacul</t>
        </is>
      </c>
      <c r="C40" s="52" t="n">
        <v>4248</v>
      </c>
      <c r="D40" s="53" t="inlineStr">
        <is>
          <t>Massís del Mont Blanc</t>
        </is>
      </c>
      <c r="E40" s="33" t="inlineStr">
        <is>
          <t>FR</t>
        </is>
      </c>
      <c r="F40" s="33" t="inlineStr">
        <is>
          <t>Principal</t>
        </is>
      </c>
      <c r="G40" s="33"/>
      <c r="H40" s="54"/>
      <c r="I40" s="33"/>
      <c r="J40" s="53"/>
      <c r="K40" s="55" t="n">
        <v>45.8564</v>
      </c>
      <c r="L40" s="55" t="n">
        <v>6.8878</v>
      </c>
      <c r="M40" s="56" t="inlineStr">
        <is>
          <t>Mapa ↗</t>
        </is>
      </c>
    </row>
    <row r="41">
      <c r="A41" s="33" t="inlineStr">
        <is>
          <t>—</t>
        </is>
      </c>
      <c r="B41" s="32" t="inlineStr">
        <is>
          <t>Mont Blanc du Tacul (punt E)</t>
        </is>
      </c>
      <c r="C41" s="52" t="n">
        <v>4247</v>
      </c>
      <c r="D41" s="53" t="inlineStr">
        <is>
          <t>Massís del Mont Blanc</t>
        </is>
      </c>
      <c r="E41" s="33" t="inlineStr">
        <is>
          <t>FR</t>
        </is>
      </c>
      <c r="F41" s="33" t="inlineStr">
        <is>
          <t>Secundari</t>
        </is>
      </c>
      <c r="G41" s="33"/>
      <c r="H41" s="54"/>
      <c r="I41" s="33"/>
      <c r="J41" s="53"/>
      <c r="K41" s="55" t="n"/>
      <c r="L41" s="55" t="n"/>
      <c r="M41" s="33" t="n"/>
    </row>
    <row r="42">
      <c r="A42" s="33" t="inlineStr">
        <is>
          <t>25</t>
        </is>
      </c>
      <c r="B42" s="32" t="inlineStr">
        <is>
          <t>Grand Pilier d'Angle</t>
        </is>
      </c>
      <c r="C42" s="52" t="n">
        <v>4243</v>
      </c>
      <c r="D42" s="53" t="inlineStr">
        <is>
          <t>Massís del Mont Blanc</t>
        </is>
      </c>
      <c r="E42" s="33" t="inlineStr">
        <is>
          <t>IT</t>
        </is>
      </c>
      <c r="F42" s="33" t="inlineStr">
        <is>
          <t>Principal</t>
        </is>
      </c>
      <c r="G42" s="33"/>
      <c r="H42" s="54"/>
      <c r="I42" s="33"/>
      <c r="J42" s="53"/>
      <c r="K42" s="55" t="n">
        <v>45.8278</v>
      </c>
      <c r="L42" s="55" t="n">
        <v>6.88</v>
      </c>
      <c r="M42" s="56" t="inlineStr">
        <is>
          <t>Mapa ↗</t>
        </is>
      </c>
    </row>
    <row r="43">
      <c r="A43" s="33" t="inlineStr">
        <is>
          <t>—</t>
        </is>
      </c>
      <c r="B43" s="32" t="inlineStr">
        <is>
          <t>Aiguille du Croissant</t>
        </is>
      </c>
      <c r="C43" s="52" t="n">
        <v>4243</v>
      </c>
      <c r="D43" s="53" t="inlineStr">
        <is>
          <t>Grand Combin</t>
        </is>
      </c>
      <c r="E43" s="33" t="inlineStr">
        <is>
          <t>CH</t>
        </is>
      </c>
      <c r="F43" s="33" t="inlineStr">
        <is>
          <t>Secundari</t>
        </is>
      </c>
      <c r="G43" s="33"/>
      <c r="H43" s="54"/>
      <c r="I43" s="33"/>
      <c r="J43" s="53"/>
      <c r="K43" s="55" t="n">
        <v>45.940819</v>
      </c>
      <c r="L43" s="55" t="n">
        <v>7.301059</v>
      </c>
      <c r="M43" s="56" t="inlineStr">
        <is>
          <t>Mapa ↗</t>
        </is>
      </c>
    </row>
    <row r="44">
      <c r="A44" s="33" t="inlineStr">
        <is>
          <t>26</t>
        </is>
      </c>
      <c r="B44" s="32" t="inlineStr">
        <is>
          <t>Stecknadelhorn</t>
        </is>
      </c>
      <c r="C44" s="52" t="n">
        <v>4241</v>
      </c>
      <c r="D44" s="53" t="inlineStr">
        <is>
          <t>Mischabel</t>
        </is>
      </c>
      <c r="E44" s="33" t="inlineStr">
        <is>
          <t>CH</t>
        </is>
      </c>
      <c r="F44" s="33" t="inlineStr">
        <is>
          <t>Principal</t>
        </is>
      </c>
      <c r="G44" s="33"/>
      <c r="H44" s="54"/>
      <c r="I44" s="33"/>
      <c r="J44" s="53"/>
      <c r="K44" s="55" t="n">
        <v>46.1115</v>
      </c>
      <c r="L44" s="55" t="n">
        <v>7.8597</v>
      </c>
      <c r="M44" s="56" t="inlineStr">
        <is>
          <t>Mapa ↗</t>
        </is>
      </c>
    </row>
    <row r="45">
      <c r="A45" s="33" t="inlineStr">
        <is>
          <t>—</t>
        </is>
      </c>
      <c r="B45" s="32" t="inlineStr">
        <is>
          <t>Pic Tyndall</t>
        </is>
      </c>
      <c r="C45" s="52" t="n">
        <v>4241</v>
      </c>
      <c r="D45" s="53" t="inlineStr">
        <is>
          <t>Alps Penins</t>
        </is>
      </c>
      <c r="E45" s="33" t="inlineStr">
        <is>
          <t>CH/IT</t>
        </is>
      </c>
      <c r="F45" s="33" t="inlineStr">
        <is>
          <t>Secundari</t>
        </is>
      </c>
      <c r="G45" s="33"/>
      <c r="H45" s="54"/>
      <c r="I45" s="33"/>
      <c r="J45" s="53"/>
      <c r="K45" s="55" t="n">
        <v>45.974944</v>
      </c>
      <c r="L45" s="55" t="n">
        <v>7.654389</v>
      </c>
      <c r="M45" s="56" t="inlineStr">
        <is>
          <t>Mapa ↗</t>
        </is>
      </c>
    </row>
    <row r="46">
      <c r="A46" s="33" t="inlineStr">
        <is>
          <t>27</t>
        </is>
      </c>
      <c r="B46" s="32" t="inlineStr">
        <is>
          <t>Castor</t>
        </is>
      </c>
      <c r="C46" s="52" t="n">
        <v>4223</v>
      </c>
      <c r="D46" s="53" t="inlineStr">
        <is>
          <t>Alps Penins</t>
        </is>
      </c>
      <c r="E46" s="33" t="inlineStr">
        <is>
          <t>CH/IT</t>
        </is>
      </c>
      <c r="F46" s="33" t="inlineStr">
        <is>
          <t>Principal</t>
        </is>
      </c>
      <c r="G46" s="33"/>
      <c r="H46" s="54"/>
      <c r="I46" s="33"/>
      <c r="J46" s="53"/>
      <c r="K46" s="55" t="n">
        <v>45.9222</v>
      </c>
      <c r="L46" s="55" t="n">
        <v>7.7928</v>
      </c>
      <c r="M46" s="56" t="inlineStr">
        <is>
          <t>Mapa ↗</t>
        </is>
      </c>
    </row>
    <row r="47">
      <c r="A47" s="33" t="inlineStr">
        <is>
          <t>28</t>
        </is>
      </c>
      <c r="B47" s="32" t="inlineStr">
        <is>
          <t>Zinalrothorn</t>
        </is>
      </c>
      <c r="C47" s="52" t="n">
        <v>4221</v>
      </c>
      <c r="D47" s="53" t="inlineStr">
        <is>
          <t>Alps Penins</t>
        </is>
      </c>
      <c r="E47" s="33" t="inlineStr">
        <is>
          <t>CH</t>
        </is>
      </c>
      <c r="F47" s="33" t="inlineStr">
        <is>
          <t>Principal</t>
        </is>
      </c>
      <c r="G47" s="33"/>
      <c r="H47" s="54"/>
      <c r="I47" s="33"/>
      <c r="J47" s="53"/>
      <c r="K47" s="55" t="n">
        <v>46.0647</v>
      </c>
      <c r="L47" s="55" t="n">
        <v>7.69</v>
      </c>
      <c r="M47" s="56" t="inlineStr">
        <is>
          <t>Mapa ↗</t>
        </is>
      </c>
    </row>
    <row r="48">
      <c r="A48" s="33" t="inlineStr">
        <is>
          <t>29</t>
        </is>
      </c>
      <c r="B48" s="32" t="inlineStr">
        <is>
          <t>Hohberghorn</t>
        </is>
      </c>
      <c r="C48" s="52" t="n">
        <v>4219</v>
      </c>
      <c r="D48" s="53" t="inlineStr">
        <is>
          <t>Mischabel</t>
        </is>
      </c>
      <c r="E48" s="33" t="inlineStr">
        <is>
          <t>CH</t>
        </is>
      </c>
      <c r="F48" s="33" t="inlineStr">
        <is>
          <t>Principal</t>
        </is>
      </c>
      <c r="G48" s="33"/>
      <c r="H48" s="54"/>
      <c r="I48" s="33"/>
      <c r="J48" s="53"/>
      <c r="K48" s="55" t="n">
        <v>46.1127</v>
      </c>
      <c r="L48" s="55" t="n">
        <v>7.8539</v>
      </c>
      <c r="M48" s="56" t="inlineStr">
        <is>
          <t>Mapa ↗</t>
        </is>
      </c>
    </row>
    <row r="49">
      <c r="A49" s="33" t="inlineStr">
        <is>
          <t>30</t>
        </is>
      </c>
      <c r="B49" s="32" t="inlineStr">
        <is>
          <t>Piramide Vincent</t>
        </is>
      </c>
      <c r="C49" s="52" t="n">
        <v>4215</v>
      </c>
      <c r="D49" s="53" t="inlineStr">
        <is>
          <t>Monte Rosa</t>
        </is>
      </c>
      <c r="E49" s="33" t="inlineStr">
        <is>
          <t>IT</t>
        </is>
      </c>
      <c r="F49" s="33" t="inlineStr">
        <is>
          <t>Principal</t>
        </is>
      </c>
      <c r="G49" s="33"/>
      <c r="H49" s="54"/>
      <c r="I49" s="33"/>
      <c r="J49" s="53"/>
      <c r="K49" s="55" t="n">
        <v>45.9078</v>
      </c>
      <c r="L49" s="55" t="n">
        <v>7.8619</v>
      </c>
      <c r="M49" s="56" t="inlineStr">
        <is>
          <t>Mapa ↗</t>
        </is>
      </c>
    </row>
    <row r="50">
      <c r="A50" s="33" t="inlineStr">
        <is>
          <t>31</t>
        </is>
      </c>
      <c r="B50" s="32" t="inlineStr">
        <is>
          <t>Grandes Jorasses (Pointe Walker)</t>
        </is>
      </c>
      <c r="C50" s="52" t="n">
        <v>4208</v>
      </c>
      <c r="D50" s="53" t="inlineStr">
        <is>
          <t>Massís del Mont Blanc</t>
        </is>
      </c>
      <c r="E50" s="33" t="inlineStr">
        <is>
          <t>FR/IT</t>
        </is>
      </c>
      <c r="F50" s="33" t="inlineStr">
        <is>
          <t>Principal</t>
        </is>
      </c>
      <c r="G50" s="33"/>
      <c r="H50" s="54"/>
      <c r="I50" s="33"/>
      <c r="J50" s="53"/>
      <c r="K50" s="55" t="n">
        <v>45.8689</v>
      </c>
      <c r="L50" s="55" t="n">
        <v>6.9881</v>
      </c>
      <c r="M50" s="56" t="inlineStr">
        <is>
          <t>Mapa ↗</t>
        </is>
      </c>
    </row>
    <row r="51">
      <c r="A51" s="33" t="inlineStr">
        <is>
          <t>32</t>
        </is>
      </c>
      <c r="B51" s="32" t="inlineStr">
        <is>
          <t>Alphubel</t>
        </is>
      </c>
      <c r="C51" s="52" t="n">
        <v>4206</v>
      </c>
      <c r="D51" s="53" t="inlineStr">
        <is>
          <t>Mischabel</t>
        </is>
      </c>
      <c r="E51" s="33" t="inlineStr">
        <is>
          <t>CH</t>
        </is>
      </c>
      <c r="F51" s="33" t="inlineStr">
        <is>
          <t>Principal</t>
        </is>
      </c>
      <c r="G51" s="33"/>
      <c r="H51" s="54"/>
      <c r="I51" s="33"/>
      <c r="J51" s="53"/>
      <c r="K51" s="55" t="n">
        <v>46.0629</v>
      </c>
      <c r="L51" s="55" t="n">
        <v>7.8639</v>
      </c>
      <c r="M51" s="56" t="inlineStr">
        <is>
          <t>Mapa ↗</t>
        </is>
      </c>
    </row>
    <row r="52">
      <c r="A52" s="33" t="inlineStr">
        <is>
          <t>33</t>
        </is>
      </c>
      <c r="B52" s="32" t="inlineStr">
        <is>
          <t>Rimpfischhorn</t>
        </is>
      </c>
      <c r="C52" s="52" t="n">
        <v>4199</v>
      </c>
      <c r="D52" s="53" t="inlineStr">
        <is>
          <t>Mischabel</t>
        </is>
      </c>
      <c r="E52" s="33" t="inlineStr">
        <is>
          <t>CH</t>
        </is>
      </c>
      <c r="F52" s="33" t="inlineStr">
        <is>
          <t>Principal</t>
        </is>
      </c>
      <c r="G52" s="33"/>
      <c r="H52" s="54"/>
      <c r="I52" s="33"/>
      <c r="J52" s="53"/>
      <c r="K52" s="55" t="n">
        <v>46.02306</v>
      </c>
      <c r="L52" s="55" t="n">
        <v>7.88389</v>
      </c>
      <c r="M52" s="56" t="inlineStr">
        <is>
          <t>Mapa ↗</t>
        </is>
      </c>
    </row>
    <row r="53">
      <c r="A53" s="33" t="inlineStr">
        <is>
          <t>34</t>
        </is>
      </c>
      <c r="B53" s="32" t="inlineStr">
        <is>
          <t>Aletschhorn</t>
        </is>
      </c>
      <c r="C53" s="52" t="n">
        <v>4193</v>
      </c>
      <c r="D53" s="53" t="inlineStr">
        <is>
          <t>Alps Bernesos</t>
        </is>
      </c>
      <c r="E53" s="33" t="inlineStr">
        <is>
          <t>CH</t>
        </is>
      </c>
      <c r="F53" s="33" t="inlineStr">
        <is>
          <t>Principal</t>
        </is>
      </c>
      <c r="G53" s="33"/>
      <c r="H53" s="54"/>
      <c r="I53" s="33"/>
      <c r="J53" s="53"/>
      <c r="K53" s="55" t="n">
        <v>46.4651</v>
      </c>
      <c r="L53" s="55" t="n">
        <v>7.99366</v>
      </c>
      <c r="M53" s="56" t="inlineStr">
        <is>
          <t>Mapa ↗</t>
        </is>
      </c>
    </row>
    <row r="54">
      <c r="A54" s="33" t="inlineStr">
        <is>
          <t>35</t>
        </is>
      </c>
      <c r="B54" s="32" t="inlineStr">
        <is>
          <t>Strahlhorn</t>
        </is>
      </c>
      <c r="C54" s="52" t="n">
        <v>4190</v>
      </c>
      <c r="D54" s="53" t="inlineStr">
        <is>
          <t>Mischabel</t>
        </is>
      </c>
      <c r="E54" s="33" t="inlineStr">
        <is>
          <t>CH</t>
        </is>
      </c>
      <c r="F54" s="33" t="inlineStr">
        <is>
          <t>Principal</t>
        </is>
      </c>
      <c r="G54" s="33"/>
      <c r="H54" s="54"/>
      <c r="I54" s="33"/>
      <c r="J54" s="53"/>
      <c r="K54" s="55" t="n">
        <v>46.01322</v>
      </c>
      <c r="L54" s="55" t="n">
        <v>7.90175</v>
      </c>
      <c r="M54" s="56" t="inlineStr">
        <is>
          <t>Mapa ↗</t>
        </is>
      </c>
    </row>
    <row r="55">
      <c r="A55" s="33" t="inlineStr">
        <is>
          <t>—</t>
        </is>
      </c>
      <c r="B55" s="32" t="inlineStr">
        <is>
          <t>Picco Muzio</t>
        </is>
      </c>
      <c r="C55" s="52" t="n">
        <v>4187</v>
      </c>
      <c r="D55" s="53" t="inlineStr">
        <is>
          <t>Alps Penins</t>
        </is>
      </c>
      <c r="E55" s="33" t="inlineStr">
        <is>
          <t>CH/IT</t>
        </is>
      </c>
      <c r="F55" s="33" t="inlineStr">
        <is>
          <t>Secundari</t>
        </is>
      </c>
      <c r="G55" s="33"/>
      <c r="H55" s="54"/>
      <c r="I55" s="33"/>
      <c r="J55" s="53"/>
      <c r="K55" s="55" t="n">
        <v>45.975194</v>
      </c>
      <c r="L55" s="55" t="n">
        <v>7.660944</v>
      </c>
      <c r="M55" s="56" t="inlineStr">
        <is>
          <t>Mapa ↗</t>
        </is>
      </c>
    </row>
    <row r="56">
      <c r="A56" s="33" t="inlineStr">
        <is>
          <t>36</t>
        </is>
      </c>
      <c r="B56" s="32" t="inlineStr">
        <is>
          <t>Grand Combin de Valsorey</t>
        </is>
      </c>
      <c r="C56" s="52" t="n">
        <v>4184</v>
      </c>
      <c r="D56" s="53" t="inlineStr">
        <is>
          <t>Grand Combin</t>
        </is>
      </c>
      <c r="E56" s="33" t="inlineStr">
        <is>
          <t>CH</t>
        </is>
      </c>
      <c r="F56" s="33" t="inlineStr">
        <is>
          <t>Principal</t>
        </is>
      </c>
      <c r="G56" s="33"/>
      <c r="H56" s="54"/>
      <c r="I56" s="33"/>
      <c r="J56" s="53"/>
      <c r="K56" s="55" t="n">
        <v>45.93805</v>
      </c>
      <c r="L56" s="55" t="n">
        <v>7.29028</v>
      </c>
      <c r="M56" s="56" t="inlineStr">
        <is>
          <t>Mapa ↗</t>
        </is>
      </c>
    </row>
    <row r="57">
      <c r="A57" s="33" t="inlineStr">
        <is>
          <t>37</t>
        </is>
      </c>
      <c r="B57" s="32" t="inlineStr">
        <is>
          <t>Grandes Jorasses (Pointe Whymper)</t>
        </is>
      </c>
      <c r="C57" s="52" t="n">
        <v>4184</v>
      </c>
      <c r="D57" s="53" t="inlineStr">
        <is>
          <t>Massís del Mont Blanc</t>
        </is>
      </c>
      <c r="E57" s="33" t="inlineStr">
        <is>
          <t>FR/IT</t>
        </is>
      </c>
      <c r="F57" s="33" t="inlineStr">
        <is>
          <t>Principal</t>
        </is>
      </c>
      <c r="G57" s="33"/>
      <c r="H57" s="54"/>
      <c r="I57" s="33"/>
      <c r="J57" s="53"/>
      <c r="K57" s="55" t="n">
        <v>45.8686</v>
      </c>
      <c r="L57" s="55" t="n">
        <v>6.98494</v>
      </c>
      <c r="M57" s="56" t="inlineStr">
        <is>
          <t>Mapa ↗</t>
        </is>
      </c>
    </row>
    <row r="58">
      <c r="A58" s="33" t="inlineStr">
        <is>
          <t>—</t>
        </is>
      </c>
      <c r="B58" s="32" t="inlineStr">
        <is>
          <t>Entdeckungsfels (Roccia della Scoperta)</t>
        </is>
      </c>
      <c r="C58" s="52" t="n">
        <v>4178</v>
      </c>
      <c r="D58" s="53" t="inlineStr">
        <is>
          <t>Monte Rosa</t>
        </is>
      </c>
      <c r="E58" s="33" t="inlineStr">
        <is>
          <t>CH/IT</t>
        </is>
      </c>
      <c r="F58" s="33" t="inlineStr">
        <is>
          <t>Secundari</t>
        </is>
      </c>
      <c r="G58" s="33"/>
      <c r="H58" s="54"/>
      <c r="I58" s="33"/>
      <c r="J58" s="53"/>
      <c r="K58" s="55" t="n">
        <v>45.921028</v>
      </c>
      <c r="L58" s="55" t="n">
        <v>7.851694</v>
      </c>
      <c r="M58" s="56" t="inlineStr">
        <is>
          <t>Mapa ↗</t>
        </is>
      </c>
    </row>
    <row r="59">
      <c r="A59" s="33" t="inlineStr">
        <is>
          <t>38</t>
        </is>
      </c>
      <c r="B59" s="32" t="inlineStr">
        <is>
          <t>Dent d'Hérens</t>
        </is>
      </c>
      <c r="C59" s="52" t="n">
        <v>4171</v>
      </c>
      <c r="D59" s="53" t="inlineStr">
        <is>
          <t>Alps Penins</t>
        </is>
      </c>
      <c r="E59" s="33" t="inlineStr">
        <is>
          <t>CH/IT</t>
        </is>
      </c>
      <c r="F59" s="33" t="inlineStr">
        <is>
          <t>Principal</t>
        </is>
      </c>
      <c r="G59" s="33"/>
      <c r="H59" s="54"/>
      <c r="I59" s="33"/>
      <c r="J59" s="53"/>
      <c r="K59" s="55" t="n">
        <v>45.97006</v>
      </c>
      <c r="L59" s="55" t="n">
        <v>7.60508</v>
      </c>
      <c r="M59" s="56" t="inlineStr">
        <is>
          <t>Mapa ↗</t>
        </is>
      </c>
    </row>
    <row r="60">
      <c r="A60" s="33" t="inlineStr">
        <is>
          <t>—</t>
        </is>
      </c>
      <c r="B60" s="32" t="inlineStr">
        <is>
          <t>Balmenhorn</t>
        </is>
      </c>
      <c r="C60" s="52" t="n">
        <v>4167</v>
      </c>
      <c r="D60" s="53" t="inlineStr">
        <is>
          <t>Monte Rosa</t>
        </is>
      </c>
      <c r="E60" s="33" t="inlineStr">
        <is>
          <t>IT</t>
        </is>
      </c>
      <c r="F60" s="33" t="inlineStr">
        <is>
          <t>Secundari</t>
        </is>
      </c>
      <c r="G60" s="33"/>
      <c r="H60" s="54"/>
      <c r="I60" s="33"/>
      <c r="J60" s="53"/>
      <c r="K60" s="55" t="n">
        <v>45.913836</v>
      </c>
      <c r="L60" s="55" t="n">
        <v>7.858134</v>
      </c>
      <c r="M60" s="56" t="inlineStr">
        <is>
          <t>Mapa ↗</t>
        </is>
      </c>
    </row>
    <row r="61">
      <c r="A61" s="33" t="inlineStr">
        <is>
          <t>—</t>
        </is>
      </c>
      <c r="B61" s="32" t="inlineStr">
        <is>
          <t>Alphubel (cim sud)</t>
        </is>
      </c>
      <c r="C61" s="52" t="n">
        <v>4166</v>
      </c>
      <c r="D61" s="53" t="inlineStr">
        <is>
          <t>Mischabel</t>
        </is>
      </c>
      <c r="E61" s="33" t="inlineStr">
        <is>
          <t>CH</t>
        </is>
      </c>
      <c r="F61" s="33" t="inlineStr">
        <is>
          <t>Secundari</t>
        </is>
      </c>
      <c r="G61" s="33"/>
      <c r="H61" s="54"/>
      <c r="I61" s="33"/>
      <c r="J61" s="53"/>
      <c r="K61" s="55" t="n"/>
      <c r="L61" s="55" t="n"/>
      <c r="M61" s="33" t="n"/>
    </row>
    <row r="62">
      <c r="A62" s="33" t="inlineStr">
        <is>
          <t>39</t>
        </is>
      </c>
      <c r="B62" s="32" t="inlineStr">
        <is>
          <t>Breithorn Occidental</t>
        </is>
      </c>
      <c r="C62" s="52" t="n">
        <v>4164</v>
      </c>
      <c r="D62" s="53" t="inlineStr">
        <is>
          <t>Alps Penins</t>
        </is>
      </c>
      <c r="E62" s="33" t="inlineStr">
        <is>
          <t>CH/IT</t>
        </is>
      </c>
      <c r="F62" s="33" t="inlineStr">
        <is>
          <t>Principal</t>
        </is>
      </c>
      <c r="G62" s="33"/>
      <c r="H62" s="54"/>
      <c r="I62" s="33"/>
      <c r="J62" s="53"/>
      <c r="K62" s="55" t="n">
        <v>45.94111</v>
      </c>
      <c r="L62" s="55" t="n">
        <v>7.74722</v>
      </c>
      <c r="M62" s="56" t="inlineStr">
        <is>
          <t>Mapa ↗</t>
        </is>
      </c>
    </row>
    <row r="63">
      <c r="A63" s="33" t="inlineStr">
        <is>
          <t>40</t>
        </is>
      </c>
      <c r="B63" s="32" t="inlineStr">
        <is>
          <t>Breithorn Central</t>
        </is>
      </c>
      <c r="C63" s="52" t="n">
        <v>4159</v>
      </c>
      <c r="D63" s="53" t="inlineStr">
        <is>
          <t>Alps Penins</t>
        </is>
      </c>
      <c r="E63" s="33" t="inlineStr">
        <is>
          <t>CH/IT</t>
        </is>
      </c>
      <c r="F63" s="33" t="inlineStr">
        <is>
          <t>Principal</t>
        </is>
      </c>
      <c r="G63" s="33"/>
      <c r="H63" s="54"/>
      <c r="I63" s="33"/>
      <c r="J63" s="53"/>
      <c r="K63" s="55" t="n">
        <v>45.93889</v>
      </c>
      <c r="L63" s="55" t="n">
        <v>7.75639</v>
      </c>
      <c r="M63" s="56" t="inlineStr">
        <is>
          <t>Mapa ↗</t>
        </is>
      </c>
    </row>
    <row r="64">
      <c r="A64" s="33" t="inlineStr">
        <is>
          <t>41</t>
        </is>
      </c>
      <c r="B64" s="32" t="inlineStr">
        <is>
          <t>Jungfrau</t>
        </is>
      </c>
      <c r="C64" s="52" t="n">
        <v>4158</v>
      </c>
      <c r="D64" s="53" t="inlineStr">
        <is>
          <t>Alps Bernesos</t>
        </is>
      </c>
      <c r="E64" s="33" t="inlineStr">
        <is>
          <t>CH</t>
        </is>
      </c>
      <c r="F64" s="33" t="inlineStr">
        <is>
          <t>Principal</t>
        </is>
      </c>
      <c r="G64" s="33"/>
      <c r="H64" s="54"/>
      <c r="I64" s="33"/>
      <c r="J64" s="53"/>
      <c r="K64" s="55" t="n">
        <v>46.53681</v>
      </c>
      <c r="L64" s="55" t="n">
        <v>7.96264</v>
      </c>
      <c r="M64" s="56" t="inlineStr">
        <is>
          <t>Mapa ↗</t>
        </is>
      </c>
    </row>
    <row r="65">
      <c r="A65" s="33" t="inlineStr">
        <is>
          <t>42</t>
        </is>
      </c>
      <c r="B65" s="32" t="inlineStr">
        <is>
          <t>Bishorn</t>
        </is>
      </c>
      <c r="C65" s="52" t="n">
        <v>4153</v>
      </c>
      <c r="D65" s="53" t="inlineStr">
        <is>
          <t>Alps Penins</t>
        </is>
      </c>
      <c r="E65" s="33" t="inlineStr">
        <is>
          <t>CH</t>
        </is>
      </c>
      <c r="F65" s="33" t="inlineStr">
        <is>
          <t>Principal</t>
        </is>
      </c>
      <c r="G65" s="33"/>
      <c r="H65" s="54"/>
      <c r="I65" s="33"/>
      <c r="J65" s="53"/>
      <c r="K65" s="55" t="n">
        <v>46.11778</v>
      </c>
      <c r="L65" s="55" t="n">
        <v>7.71472</v>
      </c>
      <c r="M65" s="56" t="inlineStr">
        <is>
          <t>Mapa ↗</t>
        </is>
      </c>
    </row>
    <row r="66">
      <c r="A66" s="33" t="inlineStr">
        <is>
          <t>—</t>
        </is>
      </c>
      <c r="B66" s="32" t="inlineStr">
        <is>
          <t>Dent d'Hérens (La Corne)</t>
        </is>
      </c>
      <c r="C66" s="52" t="n">
        <v>4148</v>
      </c>
      <c r="D66" s="53" t="inlineStr">
        <is>
          <t>Alps Penins</t>
        </is>
      </c>
      <c r="E66" s="33" t="inlineStr">
        <is>
          <t>CH/IT</t>
        </is>
      </c>
      <c r="F66" s="33" t="inlineStr">
        <is>
          <t>Secundari</t>
        </is>
      </c>
      <c r="G66" s="33"/>
      <c r="H66" s="54"/>
      <c r="I66" s="33"/>
      <c r="J66" s="53"/>
      <c r="K66" s="55" t="n"/>
      <c r="L66" s="55" t="n"/>
      <c r="M66" s="33" t="n"/>
    </row>
    <row r="67">
      <c r="A67" s="33" t="inlineStr">
        <is>
          <t>43</t>
        </is>
      </c>
      <c r="B67" s="32" t="inlineStr">
        <is>
          <t>Breithorn Oriental (Bessó Oest)</t>
        </is>
      </c>
      <c r="C67" s="52" t="n">
        <v>4139</v>
      </c>
      <c r="D67" s="53" t="inlineStr">
        <is>
          <t>Alps Penins</t>
        </is>
      </c>
      <c r="E67" s="33" t="inlineStr">
        <is>
          <t>CH/IT</t>
        </is>
      </c>
      <c r="F67" s="33" t="inlineStr">
        <is>
          <t>Principal</t>
        </is>
      </c>
      <c r="G67" s="33"/>
      <c r="H67" s="54"/>
      <c r="I67" s="33"/>
      <c r="J67" s="53"/>
      <c r="K67" s="55" t="n">
        <v>45.93722</v>
      </c>
      <c r="L67" s="55" t="n">
        <v>7.76722</v>
      </c>
      <c r="M67" s="56" t="inlineStr">
        <is>
          <t>Mapa ↗</t>
        </is>
      </c>
    </row>
    <row r="68">
      <c r="A68" s="33" t="inlineStr">
        <is>
          <t>44</t>
        </is>
      </c>
      <c r="B68" s="32" t="inlineStr">
        <is>
          <t>Grand Combin de la Tsessette</t>
        </is>
      </c>
      <c r="C68" s="52" t="n">
        <v>4135</v>
      </c>
      <c r="D68" s="53" t="inlineStr">
        <is>
          <t>Grand Combin</t>
        </is>
      </c>
      <c r="E68" s="33" t="inlineStr">
        <is>
          <t>CH</t>
        </is>
      </c>
      <c r="F68" s="33" t="inlineStr">
        <is>
          <t>Principal</t>
        </is>
      </c>
      <c r="G68" s="33"/>
      <c r="H68" s="54"/>
      <c r="I68" s="33"/>
      <c r="J68" s="53"/>
      <c r="K68" s="55" t="n">
        <v>45.94293</v>
      </c>
      <c r="L68" s="55" t="n">
        <v>7.31112</v>
      </c>
      <c r="M68" s="56" t="inlineStr">
        <is>
          <t>Mapa ↗</t>
        </is>
      </c>
    </row>
    <row r="69">
      <c r="A69" s="33" t="inlineStr">
        <is>
          <t>—</t>
        </is>
      </c>
      <c r="B69" s="32" t="inlineStr">
        <is>
          <t>Pointe Burnaby (Bishorn)</t>
        </is>
      </c>
      <c r="C69" s="52" t="n">
        <v>4135</v>
      </c>
      <c r="D69" s="53" t="inlineStr">
        <is>
          <t>Alps Penins</t>
        </is>
      </c>
      <c r="E69" s="33" t="inlineStr">
        <is>
          <t>CH</t>
        </is>
      </c>
      <c r="F69" s="33" t="inlineStr">
        <is>
          <t>Secundari</t>
        </is>
      </c>
      <c r="G69" s="33"/>
      <c r="H69" s="54"/>
      <c r="I69" s="33"/>
      <c r="J69" s="53"/>
      <c r="K69" s="55" t="n">
        <v>46.118703</v>
      </c>
      <c r="L69" s="55" t="n">
        <v>7.717973</v>
      </c>
      <c r="M69" s="56" t="inlineStr">
        <is>
          <t>Mapa ↗</t>
        </is>
      </c>
    </row>
    <row r="70">
      <c r="A70" s="33" t="inlineStr">
        <is>
          <t>—</t>
        </is>
      </c>
      <c r="B70" s="32" t="inlineStr">
        <is>
          <t>Alphubel (cim nord-est)</t>
        </is>
      </c>
      <c r="C70" s="52" t="n">
        <v>4128</v>
      </c>
      <c r="D70" s="53" t="inlineStr">
        <is>
          <t>Mischabel</t>
        </is>
      </c>
      <c r="E70" s="33" t="inlineStr">
        <is>
          <t>CH</t>
        </is>
      </c>
      <c r="F70" s="33" t="inlineStr">
        <is>
          <t>Secundari</t>
        </is>
      </c>
      <c r="G70" s="33"/>
      <c r="H70" s="54"/>
      <c r="I70" s="33"/>
      <c r="J70" s="53"/>
      <c r="K70" s="55" t="n"/>
      <c r="L70" s="55" t="n"/>
      <c r="M70" s="33" t="n"/>
    </row>
    <row r="71">
      <c r="A71" s="33" t="inlineStr">
        <is>
          <t>45</t>
        </is>
      </c>
      <c r="B71" s="32" t="inlineStr">
        <is>
          <t>Aiguille Verte</t>
        </is>
      </c>
      <c r="C71" s="52" t="n">
        <v>4122</v>
      </c>
      <c r="D71" s="53" t="inlineStr">
        <is>
          <t>Massís del Mont Blanc</t>
        </is>
      </c>
      <c r="E71" s="33" t="inlineStr">
        <is>
          <t>FR</t>
        </is>
      </c>
      <c r="F71" s="33" t="inlineStr">
        <is>
          <t>Principal</t>
        </is>
      </c>
      <c r="G71" s="33"/>
      <c r="H71" s="54"/>
      <c r="I71" s="33"/>
      <c r="J71" s="53"/>
      <c r="K71" s="55" t="n">
        <v>45.93472</v>
      </c>
      <c r="L71" s="55" t="n">
        <v>6.97</v>
      </c>
      <c r="M71" s="56" t="inlineStr">
        <is>
          <t>Mapa ↗</t>
        </is>
      </c>
    </row>
    <row r="72">
      <c r="A72" s="33" t="inlineStr">
        <is>
          <t>—</t>
        </is>
      </c>
      <c r="B72" s="32" t="inlineStr">
        <is>
          <t>Alphubel (cim nord)</t>
        </is>
      </c>
      <c r="C72" s="52" t="n">
        <v>4116</v>
      </c>
      <c r="D72" s="53" t="inlineStr">
        <is>
          <t>Mischabel</t>
        </is>
      </c>
      <c r="E72" s="33" t="inlineStr">
        <is>
          <t>CH</t>
        </is>
      </c>
      <c r="F72" s="33" t="inlineStr">
        <is>
          <t>Secundari</t>
        </is>
      </c>
      <c r="G72" s="33"/>
      <c r="H72" s="54"/>
      <c r="I72" s="33"/>
      <c r="J72" s="53"/>
      <c r="K72" s="55" t="n"/>
      <c r="L72" s="55" t="n"/>
      <c r="M72" s="33" t="n"/>
    </row>
    <row r="73">
      <c r="A73" s="33" t="inlineStr">
        <is>
          <t>46</t>
        </is>
      </c>
      <c r="B73" s="32" t="inlineStr">
        <is>
          <t>Aiguilles du Diable (L'Isolée)</t>
        </is>
      </c>
      <c r="C73" s="52" t="n">
        <v>4114</v>
      </c>
      <c r="D73" s="53" t="inlineStr">
        <is>
          <t>Massís del Mont Blanc</t>
        </is>
      </c>
      <c r="E73" s="33" t="inlineStr">
        <is>
          <t>FR</t>
        </is>
      </c>
      <c r="F73" s="33" t="inlineStr">
        <is>
          <t>Principal</t>
        </is>
      </c>
      <c r="G73" s="33"/>
      <c r="H73" s="54"/>
      <c r="I73" s="33"/>
      <c r="J73" s="53"/>
      <c r="K73" s="55" t="n">
        <v>45.85472</v>
      </c>
      <c r="L73" s="55" t="n">
        <v>6.89028</v>
      </c>
      <c r="M73" s="56" t="inlineStr">
        <is>
          <t>Mapa ↗</t>
        </is>
      </c>
    </row>
    <row r="74">
      <c r="A74" s="33" t="inlineStr">
        <is>
          <t>47</t>
        </is>
      </c>
      <c r="B74" s="32" t="inlineStr">
        <is>
          <t>Aiguille Blanche de Peuterey</t>
        </is>
      </c>
      <c r="C74" s="52" t="n">
        <v>4112</v>
      </c>
      <c r="D74" s="53" t="inlineStr">
        <is>
          <t>Massís del Mont Blanc</t>
        </is>
      </c>
      <c r="E74" s="33" t="inlineStr">
        <is>
          <t>IT</t>
        </is>
      </c>
      <c r="F74" s="33" t="inlineStr">
        <is>
          <t>Principal</t>
        </is>
      </c>
      <c r="G74" s="33"/>
      <c r="H74" s="54"/>
      <c r="I74" s="33"/>
      <c r="J74" s="53"/>
      <c r="K74" s="55" t="n">
        <v>45.82444</v>
      </c>
      <c r="L74" s="55" t="n">
        <v>6.88278</v>
      </c>
      <c r="M74" s="56" t="inlineStr">
        <is>
          <t>Mapa ↗</t>
        </is>
      </c>
    </row>
    <row r="75">
      <c r="A75" s="33" t="inlineStr">
        <is>
          <t>48</t>
        </is>
      </c>
      <c r="B75" s="32" t="inlineStr">
        <is>
          <t>Grandes Jorasses (Pointe Croz)</t>
        </is>
      </c>
      <c r="C75" s="52" t="n">
        <v>4110</v>
      </c>
      <c r="D75" s="53" t="inlineStr">
        <is>
          <t>Massís del Mont Blanc</t>
        </is>
      </c>
      <c r="E75" s="33" t="inlineStr">
        <is>
          <t>FR/IT</t>
        </is>
      </c>
      <c r="F75" s="33" t="inlineStr">
        <is>
          <t>Principal</t>
        </is>
      </c>
      <c r="G75" s="33"/>
      <c r="H75" s="54"/>
      <c r="I75" s="33"/>
      <c r="J75" s="53"/>
      <c r="K75" s="55" t="n">
        <v>45.8691</v>
      </c>
      <c r="L75" s="55" t="n">
        <v>6.98237</v>
      </c>
      <c r="M75" s="56" t="inlineStr">
        <is>
          <t>Mapa ↗</t>
        </is>
      </c>
    </row>
    <row r="76">
      <c r="A76" s="33" t="inlineStr">
        <is>
          <t>49</t>
        </is>
      </c>
      <c r="B76" s="32" t="inlineStr">
        <is>
          <t>Aiguilles du Diable (Pointe Carmen)</t>
        </is>
      </c>
      <c r="C76" s="52" t="n">
        <v>4109</v>
      </c>
      <c r="D76" s="53" t="inlineStr">
        <is>
          <t>Massís del Mont Blanc</t>
        </is>
      </c>
      <c r="E76" s="33" t="inlineStr">
        <is>
          <t>FR</t>
        </is>
      </c>
      <c r="F76" s="33" t="inlineStr">
        <is>
          <t>Principal</t>
        </is>
      </c>
      <c r="G76" s="33"/>
      <c r="H76" s="54"/>
      <c r="I76" s="33"/>
      <c r="J76" s="53"/>
      <c r="K76" s="55" t="n">
        <v>45.85448</v>
      </c>
      <c r="L76" s="55" t="n">
        <v>6.89166</v>
      </c>
      <c r="M76" s="56" t="inlineStr">
        <is>
          <t>Mapa ↗</t>
        </is>
      </c>
    </row>
    <row r="77">
      <c r="A77" s="33" t="inlineStr">
        <is>
          <t>—</t>
        </is>
      </c>
      <c r="B77" s="32" t="inlineStr">
        <is>
          <t>Rimpfischhorn (Grosser Gendarm)</t>
        </is>
      </c>
      <c r="C77" s="52" t="n">
        <v>4108</v>
      </c>
      <c r="D77" s="53" t="inlineStr">
        <is>
          <t>Mischabel</t>
        </is>
      </c>
      <c r="E77" s="33" t="inlineStr">
        <is>
          <t>CH</t>
        </is>
      </c>
      <c r="F77" s="33" t="inlineStr">
        <is>
          <t>Secundari</t>
        </is>
      </c>
      <c r="G77" s="33"/>
      <c r="H77" s="54"/>
      <c r="I77" s="33"/>
      <c r="J77" s="53"/>
      <c r="K77" s="55" t="n"/>
      <c r="L77" s="55" t="n"/>
      <c r="M77" s="33" t="n"/>
    </row>
    <row r="78">
      <c r="A78" s="33" t="inlineStr">
        <is>
          <t>50</t>
        </is>
      </c>
      <c r="B78" s="32" t="inlineStr">
        <is>
          <t>Mönch</t>
        </is>
      </c>
      <c r="C78" s="52" t="n">
        <v>4107</v>
      </c>
      <c r="D78" s="53" t="inlineStr">
        <is>
          <t>Alps Bernesos</t>
        </is>
      </c>
      <c r="E78" s="33" t="inlineStr">
        <is>
          <t>CH</t>
        </is>
      </c>
      <c r="F78" s="33" t="inlineStr">
        <is>
          <t>Principal</t>
        </is>
      </c>
      <c r="G78" s="33"/>
      <c r="H78" s="54"/>
      <c r="I78" s="33"/>
      <c r="J78" s="53"/>
      <c r="K78" s="55" t="n">
        <v>46.55833</v>
      </c>
      <c r="L78" s="55" t="n">
        <v>7.99722</v>
      </c>
      <c r="M78" s="56" t="inlineStr">
        <is>
          <t>Mapa ↗</t>
        </is>
      </c>
    </row>
    <row r="79">
      <c r="A79" s="33" t="inlineStr">
        <is>
          <t>—</t>
        </is>
      </c>
      <c r="B79" s="32" t="inlineStr">
        <is>
          <t>Aiguille Blanche de Peuterey (Pointe SE)</t>
        </is>
      </c>
      <c r="C79" s="52" t="n">
        <v>4107</v>
      </c>
      <c r="D79" s="53" t="inlineStr">
        <is>
          <t>Massís del Mont Blanc</t>
        </is>
      </c>
      <c r="E79" s="33" t="inlineStr">
        <is>
          <t>IT</t>
        </is>
      </c>
      <c r="F79" s="33" t="inlineStr">
        <is>
          <t>Secundari</t>
        </is>
      </c>
      <c r="G79" s="33"/>
      <c r="H79" s="54"/>
      <c r="I79" s="33"/>
      <c r="J79" s="53"/>
      <c r="K79" s="55" t="n"/>
      <c r="L79" s="55" t="n"/>
      <c r="M79" s="33" t="n"/>
    </row>
    <row r="80">
      <c r="A80" s="33" t="inlineStr">
        <is>
          <t>—</t>
        </is>
      </c>
      <c r="B80" s="32" t="inlineStr">
        <is>
          <t>Pointe de l'Androsace</t>
        </is>
      </c>
      <c r="C80" s="52" t="n">
        <v>4107</v>
      </c>
      <c r="D80" s="53" t="inlineStr">
        <is>
          <t>Massís del Mont Blanc</t>
        </is>
      </c>
      <c r="E80" s="33" t="inlineStr">
        <is>
          <t>FR/IT</t>
        </is>
      </c>
      <c r="F80" s="33" t="inlineStr">
        <is>
          <t>Secundari</t>
        </is>
      </c>
      <c r="G80" s="33"/>
      <c r="H80" s="54"/>
      <c r="I80" s="33"/>
      <c r="J80" s="53"/>
      <c r="K80" s="55" t="n">
        <v>45.849062</v>
      </c>
      <c r="L80" s="55" t="n">
        <v>6.883643</v>
      </c>
      <c r="M80" s="56" t="inlineStr">
        <is>
          <t>Mapa ↗</t>
        </is>
      </c>
    </row>
    <row r="81">
      <c r="A81" s="33" t="inlineStr">
        <is>
          <t>51</t>
        </is>
      </c>
      <c r="B81" s="32" t="inlineStr">
        <is>
          <t>Breithorn (Gendarm / Bessó Est)</t>
        </is>
      </c>
      <c r="C81" s="52" t="n">
        <v>4106</v>
      </c>
      <c r="D81" s="53" t="inlineStr">
        <is>
          <t>Alps Penins</t>
        </is>
      </c>
      <c r="E81" s="33" t="inlineStr">
        <is>
          <t>CH/IT</t>
        </is>
      </c>
      <c r="F81" s="33" t="inlineStr">
        <is>
          <t>Principal</t>
        </is>
      </c>
      <c r="G81" s="33"/>
      <c r="H81" s="54"/>
      <c r="I81" s="33"/>
      <c r="J81" s="53"/>
      <c r="K81" s="55" t="n">
        <v>45.93583</v>
      </c>
      <c r="L81" s="55" t="n">
        <v>7.77056</v>
      </c>
      <c r="M81" s="56" t="inlineStr">
        <is>
          <t>Mapa ↗</t>
        </is>
      </c>
    </row>
    <row r="82">
      <c r="A82" s="33" t="inlineStr">
        <is>
          <t>—</t>
        </is>
      </c>
      <c r="B82" s="32" t="inlineStr">
        <is>
          <t>Aiguille Blanche de Peuterey (Pointe NO)</t>
        </is>
      </c>
      <c r="C82" s="52" t="n">
        <v>4104</v>
      </c>
      <c r="D82" s="53" t="inlineStr">
        <is>
          <t>Massís del Mont Blanc</t>
        </is>
      </c>
      <c r="E82" s="33" t="inlineStr">
        <is>
          <t>IT</t>
        </is>
      </c>
      <c r="F82" s="33" t="inlineStr">
        <is>
          <t>Secundari</t>
        </is>
      </c>
      <c r="G82" s="33"/>
      <c r="H82" s="54"/>
      <c r="I82" s="33"/>
      <c r="J82" s="53"/>
      <c r="K82" s="55" t="n"/>
      <c r="L82" s="55" t="n"/>
      <c r="M82" s="33" t="n"/>
    </row>
    <row r="83">
      <c r="A83" s="33" t="inlineStr">
        <is>
          <t>52</t>
        </is>
      </c>
      <c r="B83" s="32" t="inlineStr">
        <is>
          <t>Grande Rocheuse</t>
        </is>
      </c>
      <c r="C83" s="52" t="n">
        <v>4102</v>
      </c>
      <c r="D83" s="53" t="inlineStr">
        <is>
          <t>Massís del Mont Blanc</t>
        </is>
      </c>
      <c r="E83" s="33" t="inlineStr">
        <is>
          <t>FR</t>
        </is>
      </c>
      <c r="F83" s="33" t="inlineStr">
        <is>
          <t>Principal</t>
        </is>
      </c>
      <c r="G83" s="33"/>
      <c r="H83" s="54"/>
      <c r="I83" s="33"/>
      <c r="J83" s="53"/>
      <c r="K83" s="55" t="n">
        <v>45.93444</v>
      </c>
      <c r="L83" s="55" t="n">
        <v>6.97278</v>
      </c>
      <c r="M83" s="56" t="inlineStr">
        <is>
          <t>Mapa ↗</t>
        </is>
      </c>
    </row>
    <row r="84">
      <c r="A84" s="33" t="inlineStr">
        <is>
          <t>53</t>
        </is>
      </c>
      <c r="B84" s="32" t="inlineStr">
        <is>
          <t>Barre des Écrins</t>
        </is>
      </c>
      <c r="C84" s="52" t="n">
        <v>4102</v>
      </c>
      <c r="D84" s="53" t="inlineStr">
        <is>
          <t>Écrins</t>
        </is>
      </c>
      <c r="E84" s="33" t="inlineStr">
        <is>
          <t>FR</t>
        </is>
      </c>
      <c r="F84" s="33" t="inlineStr">
        <is>
          <t>Principal</t>
        </is>
      </c>
      <c r="G84" s="33"/>
      <c r="H84" s="54"/>
      <c r="I84" s="33"/>
      <c r="J84" s="53"/>
      <c r="K84" s="55" t="n">
        <v>44.9225</v>
      </c>
      <c r="L84" s="55" t="n">
        <v>6.36</v>
      </c>
      <c r="M84" s="56" t="inlineStr">
        <is>
          <t>Mapa ↗</t>
        </is>
      </c>
    </row>
    <row r="85">
      <c r="A85" s="33" t="inlineStr">
        <is>
          <t>54</t>
        </is>
      </c>
      <c r="B85" s="32" t="inlineStr">
        <is>
          <t>Aiguilles du Diable (Pointe Médiane)</t>
        </is>
      </c>
      <c r="C85" s="52" t="n">
        <v>4097</v>
      </c>
      <c r="D85" s="53" t="inlineStr">
        <is>
          <t>Massís del Mont Blanc</t>
        </is>
      </c>
      <c r="E85" s="33" t="inlineStr">
        <is>
          <t>FR</t>
        </is>
      </c>
      <c r="F85" s="33" t="inlineStr">
        <is>
          <t>Principal</t>
        </is>
      </c>
      <c r="G85" s="33"/>
      <c r="H85" s="54"/>
      <c r="I85" s="33"/>
      <c r="J85" s="53"/>
      <c r="K85" s="55" t="n">
        <v>45.85448</v>
      </c>
      <c r="L85" s="55" t="n">
        <v>6.89194</v>
      </c>
      <c r="M85" s="56" t="inlineStr">
        <is>
          <t>Mapa ↗</t>
        </is>
      </c>
    </row>
    <row r="86">
      <c r="A86" s="33" t="inlineStr">
        <is>
          <t>—</t>
        </is>
      </c>
      <c r="B86" s="32" t="inlineStr">
        <is>
          <t>Dent Blanche (Grand Gendarme)</t>
        </is>
      </c>
      <c r="C86" s="52" t="n">
        <v>4097</v>
      </c>
      <c r="D86" s="53" t="inlineStr">
        <is>
          <t>Alps Penins</t>
        </is>
      </c>
      <c r="E86" s="33" t="inlineStr">
        <is>
          <t>CH</t>
        </is>
      </c>
      <c r="F86" s="33" t="inlineStr">
        <is>
          <t>Secundari</t>
        </is>
      </c>
      <c r="G86" s="33"/>
      <c r="H86" s="54"/>
      <c r="I86" s="33"/>
      <c r="J86" s="53"/>
      <c r="K86" s="55" t="n"/>
      <c r="L86" s="55" t="n"/>
      <c r="M86" s="33" t="n"/>
    </row>
    <row r="87">
      <c r="A87" s="33" t="inlineStr">
        <is>
          <t>—</t>
        </is>
      </c>
      <c r="B87" s="32" t="inlineStr">
        <is>
          <t>Felikhorn</t>
        </is>
      </c>
      <c r="C87" s="52" t="n">
        <v>4093</v>
      </c>
      <c r="D87" s="53" t="inlineStr">
        <is>
          <t>Monte Rosa</t>
        </is>
      </c>
      <c r="E87" s="33" t="inlineStr">
        <is>
          <t>IT</t>
        </is>
      </c>
      <c r="F87" s="33" t="inlineStr">
        <is>
          <t>Secundari</t>
        </is>
      </c>
      <c r="G87" s="33"/>
      <c r="H87" s="54"/>
      <c r="I87" s="33"/>
      <c r="J87" s="53"/>
      <c r="K87" s="55" t="n">
        <v>45.916638</v>
      </c>
      <c r="L87" s="55" t="n">
        <v>7.803886</v>
      </c>
      <c r="M87" s="56" t="inlineStr">
        <is>
          <t>Mapa ↗</t>
        </is>
      </c>
    </row>
    <row r="88">
      <c r="A88" s="33" t="inlineStr">
        <is>
          <t>55</t>
        </is>
      </c>
      <c r="B88" s="32" t="inlineStr">
        <is>
          <t>Pollux</t>
        </is>
      </c>
      <c r="C88" s="52" t="n">
        <v>4092</v>
      </c>
      <c r="D88" s="53" t="inlineStr">
        <is>
          <t>Alps Penins</t>
        </is>
      </c>
      <c r="E88" s="33" t="inlineStr">
        <is>
          <t>CH/IT</t>
        </is>
      </c>
      <c r="F88" s="33" t="inlineStr">
        <is>
          <t>Principal</t>
        </is>
      </c>
      <c r="G88" s="33"/>
      <c r="H88" s="54"/>
      <c r="I88" s="33"/>
      <c r="J88" s="53"/>
      <c r="K88" s="55" t="n">
        <v>45.92778</v>
      </c>
      <c r="L88" s="55" t="n">
        <v>7.78528</v>
      </c>
      <c r="M88" s="56" t="inlineStr">
        <is>
          <t>Mapa ↗</t>
        </is>
      </c>
    </row>
    <row r="89">
      <c r="A89" s="33" t="inlineStr">
        <is>
          <t>—</t>
        </is>
      </c>
      <c r="B89" s="32" t="inlineStr">
        <is>
          <t>Lenzspitze (Grosser Gendarm)</t>
        </is>
      </c>
      <c r="C89" s="52" t="n">
        <v>4091</v>
      </c>
      <c r="D89" s="53" t="inlineStr">
        <is>
          <t>Mischabel</t>
        </is>
      </c>
      <c r="E89" s="33" t="inlineStr">
        <is>
          <t>CH</t>
        </is>
      </c>
      <c r="F89" s="33" t="inlineStr">
        <is>
          <t>Secundari</t>
        </is>
      </c>
      <c r="G89" s="33"/>
      <c r="H89" s="54"/>
      <c r="I89" s="33"/>
      <c r="J89" s="53"/>
      <c r="K89" s="55" t="n"/>
      <c r="L89" s="55" t="n"/>
      <c r="M89" s="33" t="n"/>
    </row>
    <row r="90">
      <c r="A90" s="33" t="inlineStr">
        <is>
          <t>—</t>
        </is>
      </c>
      <c r="B90" s="32" t="inlineStr">
        <is>
          <t>Wengen Jungfrau</t>
        </is>
      </c>
      <c r="C90" s="52" t="n">
        <v>4089</v>
      </c>
      <c r="D90" s="53" t="inlineStr">
        <is>
          <t>Alps Bernesos</t>
        </is>
      </c>
      <c r="E90" s="33" t="inlineStr">
        <is>
          <t>CH</t>
        </is>
      </c>
      <c r="F90" s="33" t="inlineStr">
        <is>
          <t>Secundari</t>
        </is>
      </c>
      <c r="G90" s="33"/>
      <c r="H90" s="54"/>
      <c r="I90" s="33"/>
      <c r="J90" s="53"/>
      <c r="K90" s="55" t="n">
        <v>46.539611</v>
      </c>
      <c r="L90" s="55" t="n">
        <v>7.963361</v>
      </c>
      <c r="M90" s="56" t="inlineStr">
        <is>
          <t>Mapa ↗</t>
        </is>
      </c>
    </row>
    <row r="91">
      <c r="A91" s="33" t="inlineStr">
        <is>
          <t>—</t>
        </is>
      </c>
      <c r="B91" s="32" t="inlineStr">
        <is>
          <t>Grand Combin de la Tsessette (gendarme SE)</t>
        </is>
      </c>
      <c r="C91" s="52" t="n">
        <v>4088</v>
      </c>
      <c r="D91" s="53" t="inlineStr">
        <is>
          <t>Grand Combin</t>
        </is>
      </c>
      <c r="E91" s="33" t="inlineStr">
        <is>
          <t>CH</t>
        </is>
      </c>
      <c r="F91" s="33" t="inlineStr">
        <is>
          <t>Secundari</t>
        </is>
      </c>
      <c r="G91" s="33"/>
      <c r="H91" s="54"/>
      <c r="I91" s="33"/>
      <c r="J91" s="53"/>
      <c r="K91" s="55" t="n"/>
      <c r="L91" s="55" t="n"/>
      <c r="M91" s="33" t="n"/>
    </row>
    <row r="92">
      <c r="A92" s="33" t="inlineStr">
        <is>
          <t>—</t>
        </is>
      </c>
      <c r="B92" s="32" t="inlineStr">
        <is>
          <t>Pic Lory</t>
        </is>
      </c>
      <c r="C92" s="52" t="n">
        <v>4086</v>
      </c>
      <c r="D92" s="53" t="inlineStr">
        <is>
          <t>Écrins</t>
        </is>
      </c>
      <c r="E92" s="33" t="inlineStr">
        <is>
          <t>FR</t>
        </is>
      </c>
      <c r="F92" s="33" t="inlineStr">
        <is>
          <t>Secundari</t>
        </is>
      </c>
      <c r="G92" s="33"/>
      <c r="H92" s="54"/>
      <c r="I92" s="33"/>
      <c r="J92" s="53"/>
      <c r="K92" s="55" t="n"/>
      <c r="L92" s="55" t="n"/>
      <c r="M92" s="33" t="n"/>
    </row>
    <row r="93">
      <c r="A93" s="33" t="inlineStr">
        <is>
          <t>56</t>
        </is>
      </c>
      <c r="B93" s="32" t="inlineStr">
        <is>
          <t>Schreckhorn</t>
        </is>
      </c>
      <c r="C93" s="52" t="n">
        <v>4078</v>
      </c>
      <c r="D93" s="53" t="inlineStr">
        <is>
          <t>Alps Bernesos</t>
        </is>
      </c>
      <c r="E93" s="33" t="inlineStr">
        <is>
          <t>CH</t>
        </is>
      </c>
      <c r="F93" s="33" t="inlineStr">
        <is>
          <t>Principal</t>
        </is>
      </c>
      <c r="G93" s="33"/>
      <c r="H93" s="54"/>
      <c r="I93" s="33"/>
      <c r="J93" s="53"/>
      <c r="K93" s="55" t="n">
        <v>46.58997</v>
      </c>
      <c r="L93" s="55" t="n">
        <v>8.11814</v>
      </c>
      <c r="M93" s="56" t="inlineStr">
        <is>
          <t>Mapa ↗</t>
        </is>
      </c>
    </row>
    <row r="94">
      <c r="A94" s="33" t="inlineStr">
        <is>
          <t>57</t>
        </is>
      </c>
      <c r="B94" s="32" t="inlineStr">
        <is>
          <t>Breithorn (Roccia Nera)</t>
        </is>
      </c>
      <c r="C94" s="52" t="n">
        <v>4075</v>
      </c>
      <c r="D94" s="53" t="inlineStr">
        <is>
          <t>Alps Penins</t>
        </is>
      </c>
      <c r="E94" s="33" t="inlineStr">
        <is>
          <t>CH/IT</t>
        </is>
      </c>
      <c r="F94" s="33" t="inlineStr">
        <is>
          <t>Principal</t>
        </is>
      </c>
      <c r="G94" s="33"/>
      <c r="H94" s="54"/>
      <c r="I94" s="33"/>
      <c r="J94" s="53"/>
      <c r="K94" s="55" t="n">
        <v>45.9325</v>
      </c>
      <c r="L94" s="55" t="n">
        <v>7.77528</v>
      </c>
      <c r="M94" s="56" t="inlineStr">
        <is>
          <t>Mapa ↗</t>
        </is>
      </c>
    </row>
    <row r="95">
      <c r="A95" s="33" t="inlineStr">
        <is>
          <t>—</t>
        </is>
      </c>
      <c r="B95" s="32" t="inlineStr">
        <is>
          <t>Dent d'Hérens (Gendarme Crochu)</t>
        </is>
      </c>
      <c r="C95" s="52" t="n">
        <v>4075</v>
      </c>
      <c r="D95" s="53" t="inlineStr">
        <is>
          <t>Alps Penins</t>
        </is>
      </c>
      <c r="E95" s="33" t="inlineStr">
        <is>
          <t>CH/IT</t>
        </is>
      </c>
      <c r="F95" s="33" t="inlineStr">
        <is>
          <t>Secundari</t>
        </is>
      </c>
      <c r="G95" s="33"/>
      <c r="H95" s="54"/>
      <c r="I95" s="33"/>
      <c r="J95" s="53"/>
      <c r="K95" s="55" t="n"/>
      <c r="L95" s="55" t="n"/>
      <c r="M95" s="33" t="n"/>
    </row>
    <row r="96">
      <c r="A96" s="33" t="inlineStr">
        <is>
          <t>58</t>
        </is>
      </c>
      <c r="B96" s="32" t="inlineStr">
        <is>
          <t>Aiguilles du Diable (Pointe Chaubert)</t>
        </is>
      </c>
      <c r="C96" s="52" t="n">
        <v>4074</v>
      </c>
      <c r="D96" s="53" t="inlineStr">
        <is>
          <t>Massís del Mont Blanc</t>
        </is>
      </c>
      <c r="E96" s="33" t="inlineStr">
        <is>
          <t>FR</t>
        </is>
      </c>
      <c r="F96" s="33" t="inlineStr">
        <is>
          <t>Principal</t>
        </is>
      </c>
      <c r="G96" s="33"/>
      <c r="H96" s="54"/>
      <c r="I96" s="33"/>
      <c r="J96" s="53"/>
      <c r="K96" s="55" t="n">
        <v>45.85417</v>
      </c>
      <c r="L96" s="55" t="n">
        <v>6.89286</v>
      </c>
      <c r="M96" s="56" t="inlineStr">
        <is>
          <t>Mapa ↗</t>
        </is>
      </c>
    </row>
    <row r="97">
      <c r="A97" s="33" t="inlineStr">
        <is>
          <t>59</t>
        </is>
      </c>
      <c r="B97" s="32" t="inlineStr">
        <is>
          <t>Mont Brouillard</t>
        </is>
      </c>
      <c r="C97" s="52" t="n">
        <v>4069</v>
      </c>
      <c r="D97" s="53" t="inlineStr">
        <is>
          <t>Massís del Mont Blanc</t>
        </is>
      </c>
      <c r="E97" s="33" t="inlineStr">
        <is>
          <t>FR/IT</t>
        </is>
      </c>
      <c r="F97" s="33" t="inlineStr">
        <is>
          <t>Principal</t>
        </is>
      </c>
      <c r="G97" s="33"/>
      <c r="H97" s="54"/>
      <c r="I97" s="33"/>
      <c r="J97" s="53"/>
      <c r="K97" s="55" t="n">
        <v>45.8175</v>
      </c>
      <c r="L97" s="55" t="n">
        <v>6.865</v>
      </c>
      <c r="M97" s="56" t="inlineStr">
        <is>
          <t>Mapa ↗</t>
        </is>
      </c>
    </row>
    <row r="98">
      <c r="A98" s="33" t="inlineStr">
        <is>
          <t>—</t>
        </is>
      </c>
      <c r="B98" s="32" t="inlineStr">
        <is>
          <t>Pilier du Diable</t>
        </is>
      </c>
      <c r="C98" s="52" t="n">
        <v>4067</v>
      </c>
      <c r="D98" s="53" t="inlineStr">
        <is>
          <t>Massís del Mont Blanc</t>
        </is>
      </c>
      <c r="E98" s="33" t="inlineStr">
        <is>
          <t>FR</t>
        </is>
      </c>
      <c r="F98" s="33" t="inlineStr">
        <is>
          <t>Secundari</t>
        </is>
      </c>
      <c r="G98" s="33"/>
      <c r="H98" s="54"/>
      <c r="I98" s="33"/>
      <c r="J98" s="53"/>
      <c r="K98" s="55" t="n"/>
      <c r="L98" s="55" t="n"/>
      <c r="M98" s="33" t="n"/>
    </row>
    <row r="99">
      <c r="A99" s="33" t="inlineStr">
        <is>
          <t>60</t>
        </is>
      </c>
      <c r="B99" s="32" t="inlineStr">
        <is>
          <t>Grandes Jorasses (Pointe Marguerite)</t>
        </is>
      </c>
      <c r="C99" s="52" t="n">
        <v>4065</v>
      </c>
      <c r="D99" s="53" t="inlineStr">
        <is>
          <t>Massís del Mont Blanc</t>
        </is>
      </c>
      <c r="E99" s="33" t="inlineStr">
        <is>
          <t>FR/IT</t>
        </is>
      </c>
      <c r="F99" s="33" t="inlineStr">
        <is>
          <t>Principal</t>
        </is>
      </c>
      <c r="G99" s="33"/>
      <c r="H99" s="54"/>
      <c r="I99" s="33"/>
      <c r="J99" s="53"/>
      <c r="K99" s="55" t="n">
        <v>45.86858</v>
      </c>
      <c r="L99" s="55" t="n">
        <v>6.9779</v>
      </c>
      <c r="M99" s="56" t="inlineStr">
        <is>
          <t>Mapa ↗</t>
        </is>
      </c>
    </row>
    <row r="100">
      <c r="A100" s="33" t="inlineStr">
        <is>
          <t>61</t>
        </is>
      </c>
      <c r="B100" s="32" t="inlineStr">
        <is>
          <t>Aiguilles du Diable (Corne du Diable)</t>
        </is>
      </c>
      <c r="C100" s="52" t="n">
        <v>4064</v>
      </c>
      <c r="D100" s="53" t="inlineStr">
        <is>
          <t>Massís del Mont Blanc</t>
        </is>
      </c>
      <c r="E100" s="33" t="inlineStr">
        <is>
          <t>FR</t>
        </is>
      </c>
      <c r="F100" s="33" t="inlineStr">
        <is>
          <t>Principal</t>
        </is>
      </c>
      <c r="G100" s="33"/>
      <c r="H100" s="54"/>
      <c r="I100" s="33"/>
      <c r="J100" s="53"/>
      <c r="K100" s="55" t="n">
        <v>45.85434</v>
      </c>
      <c r="L100" s="55" t="n">
        <v>6.89334</v>
      </c>
      <c r="M100" s="56" t="inlineStr">
        <is>
          <t>Mapa ↗</t>
        </is>
      </c>
    </row>
    <row r="101">
      <c r="A101" s="33" t="inlineStr">
        <is>
          <t>—</t>
        </is>
      </c>
      <c r="B101" s="32" t="inlineStr">
        <is>
          <t>Tercer pilar del Col Maudit</t>
        </is>
      </c>
      <c r="C101" s="52" t="n">
        <v>4064</v>
      </c>
      <c r="D101" s="53" t="inlineStr">
        <is>
          <t>Massís del Mont Blanc</t>
        </is>
      </c>
      <c r="E101" s="33" t="inlineStr">
        <is>
          <t>FR</t>
        </is>
      </c>
      <c r="F101" s="33" t="inlineStr">
        <is>
          <t>Secundari</t>
        </is>
      </c>
      <c r="G101" s="33"/>
      <c r="H101" s="54"/>
      <c r="I101" s="33"/>
      <c r="J101" s="53"/>
      <c r="K101" s="55" t="n"/>
      <c r="L101" s="55" t="n"/>
      <c r="M101" s="33" t="n"/>
    </row>
    <row r="102">
      <c r="A102" s="33" t="inlineStr">
        <is>
          <t>62</t>
        </is>
      </c>
      <c r="B102" s="32" t="inlineStr">
        <is>
          <t>Ober Gabelhorn</t>
        </is>
      </c>
      <c r="C102" s="52" t="n">
        <v>4063</v>
      </c>
      <c r="D102" s="53" t="inlineStr">
        <is>
          <t>Alps Penins</t>
        </is>
      </c>
      <c r="E102" s="33" t="inlineStr">
        <is>
          <t>CH</t>
        </is>
      </c>
      <c r="F102" s="33" t="inlineStr">
        <is>
          <t>Principal</t>
        </is>
      </c>
      <c r="G102" s="33"/>
      <c r="H102" s="54"/>
      <c r="I102" s="33"/>
      <c r="J102" s="53"/>
      <c r="K102" s="55" t="n">
        <v>46.03833</v>
      </c>
      <c r="L102" s="55" t="n">
        <v>7.66778</v>
      </c>
      <c r="M102" s="56" t="inlineStr">
        <is>
          <t>Mapa ↗</t>
        </is>
      </c>
    </row>
    <row r="103">
      <c r="A103" s="33" t="inlineStr">
        <is>
          <t>63</t>
        </is>
      </c>
      <c r="B103" s="32" t="inlineStr">
        <is>
          <t>Gran Paradiso</t>
        </is>
      </c>
      <c r="C103" s="52" t="n">
        <v>4061</v>
      </c>
      <c r="D103" s="53" t="inlineStr">
        <is>
          <t>Gran Paradiso</t>
        </is>
      </c>
      <c r="E103" s="33" t="inlineStr">
        <is>
          <t>IT</t>
        </is>
      </c>
      <c r="F103" s="33" t="inlineStr">
        <is>
          <t>Principal</t>
        </is>
      </c>
      <c r="G103" s="33"/>
      <c r="H103" s="54"/>
      <c r="I103" s="33"/>
      <c r="J103" s="53"/>
      <c r="K103" s="55" t="n">
        <v>45.51444</v>
      </c>
      <c r="L103" s="55" t="n">
        <v>7.26972</v>
      </c>
      <c r="M103" s="56" t="inlineStr">
        <is>
          <t>Mapa ↗</t>
        </is>
      </c>
    </row>
    <row r="104">
      <c r="A104" s="33" t="inlineStr">
        <is>
          <t>—</t>
        </is>
      </c>
      <c r="B104" s="32" t="inlineStr">
        <is>
          <t>Pointe Bravais</t>
        </is>
      </c>
      <c r="C104" s="52" t="n">
        <v>4057</v>
      </c>
      <c r="D104" s="53" t="inlineStr">
        <is>
          <t>Massís del Mont Blanc</t>
        </is>
      </c>
      <c r="E104" s="33" t="inlineStr">
        <is>
          <t>FR</t>
        </is>
      </c>
      <c r="F104" s="33" t="inlineStr">
        <is>
          <t>Secundari</t>
        </is>
      </c>
      <c r="G104" s="33"/>
      <c r="H104" s="54"/>
      <c r="I104" s="33"/>
      <c r="J104" s="53"/>
      <c r="K104" s="55" t="n">
        <v>45.851026</v>
      </c>
      <c r="L104" s="55" t="n">
        <v>6.850169</v>
      </c>
      <c r="M104" s="56" t="inlineStr">
        <is>
          <t>Mapa ↗</t>
        </is>
      </c>
    </row>
    <row r="105">
      <c r="A105" s="33" t="inlineStr">
        <is>
          <t>64</t>
        </is>
      </c>
      <c r="B105" s="32" t="inlineStr">
        <is>
          <t>Aiguille de Bionnassay</t>
        </is>
      </c>
      <c r="C105" s="52" t="n">
        <v>4052</v>
      </c>
      <c r="D105" s="53" t="inlineStr">
        <is>
          <t>Massís del Mont Blanc</t>
        </is>
      </c>
      <c r="E105" s="33" t="inlineStr">
        <is>
          <t>FR/IT</t>
        </is>
      </c>
      <c r="F105" s="33" t="inlineStr">
        <is>
          <t>Principal</t>
        </is>
      </c>
      <c r="G105" s="33"/>
      <c r="H105" s="54"/>
      <c r="I105" s="33"/>
      <c r="J105" s="53"/>
      <c r="K105" s="55" t="n">
        <v>45.83583</v>
      </c>
      <c r="L105" s="55" t="n">
        <v>6.81806</v>
      </c>
      <c r="M105" s="56" t="inlineStr">
        <is>
          <t>Mapa ↗</t>
        </is>
      </c>
    </row>
    <row r="106">
      <c r="A106" s="33" t="inlineStr">
        <is>
          <t>65</t>
        </is>
      </c>
      <c r="B106" s="32" t="inlineStr">
        <is>
          <t>Piz Bernina</t>
        </is>
      </c>
      <c r="C106" s="52" t="n">
        <v>4049</v>
      </c>
      <c r="D106" s="53" t="inlineStr">
        <is>
          <t>Bernina</t>
        </is>
      </c>
      <c r="E106" s="33" t="inlineStr">
        <is>
          <t>CH</t>
        </is>
      </c>
      <c r="F106" s="33" t="inlineStr">
        <is>
          <t>Principal</t>
        </is>
      </c>
      <c r="G106" s="33"/>
      <c r="H106" s="54"/>
      <c r="I106" s="33"/>
      <c r="J106" s="53"/>
      <c r="K106" s="55" t="n">
        <v>46.38222</v>
      </c>
      <c r="L106" s="55" t="n">
        <v>9.908060000000001</v>
      </c>
      <c r="M106" s="56" t="inlineStr">
        <is>
          <t>Mapa ↗</t>
        </is>
      </c>
    </row>
    <row r="107">
      <c r="A107" s="33" t="inlineStr">
        <is>
          <t>66</t>
        </is>
      </c>
      <c r="B107" s="32" t="inlineStr">
        <is>
          <t>Gross Fiescherhorn</t>
        </is>
      </c>
      <c r="C107" s="52" t="n">
        <v>4049</v>
      </c>
      <c r="D107" s="53" t="inlineStr">
        <is>
          <t>Alps Bernesos</t>
        </is>
      </c>
      <c r="E107" s="33" t="inlineStr">
        <is>
          <t>CH</t>
        </is>
      </c>
      <c r="F107" s="33" t="inlineStr">
        <is>
          <t>Principal</t>
        </is>
      </c>
      <c r="G107" s="33"/>
      <c r="H107" s="54"/>
      <c r="I107" s="33"/>
      <c r="J107" s="53"/>
      <c r="K107" s="55" t="n">
        <v>46.551381</v>
      </c>
      <c r="L107" s="55" t="n">
        <v>8.061325</v>
      </c>
      <c r="M107" s="56" t="inlineStr">
        <is>
          <t>Mapa ↗</t>
        </is>
      </c>
    </row>
    <row r="108">
      <c r="A108" s="33" t="inlineStr">
        <is>
          <t>67</t>
        </is>
      </c>
      <c r="B108" s="32" t="inlineStr">
        <is>
          <t>Punta Giordani</t>
        </is>
      </c>
      <c r="C108" s="52" t="n">
        <v>4046</v>
      </c>
      <c r="D108" s="53" t="inlineStr">
        <is>
          <t>Monte Rosa</t>
        </is>
      </c>
      <c r="E108" s="33" t="inlineStr">
        <is>
          <t>IT</t>
        </is>
      </c>
      <c r="F108" s="33" t="inlineStr">
        <is>
          <t>Principal</t>
        </is>
      </c>
      <c r="G108" s="33"/>
      <c r="H108" s="54"/>
      <c r="I108" s="33"/>
      <c r="J108" s="53"/>
      <c r="K108" s="55" t="n">
        <v>45.906287</v>
      </c>
      <c r="L108" s="55" t="n">
        <v>7.866389</v>
      </c>
      <c r="M108" s="56" t="inlineStr">
        <is>
          <t>Mapa ↗</t>
        </is>
      </c>
    </row>
    <row r="109">
      <c r="A109" s="33" t="inlineStr">
        <is>
          <t>68</t>
        </is>
      </c>
      <c r="B109" s="32" t="inlineStr">
        <is>
          <t>Grandes Jorasses (Pointe Hélène)</t>
        </is>
      </c>
      <c r="C109" s="52" t="n">
        <v>4045</v>
      </c>
      <c r="D109" s="53" t="inlineStr">
        <is>
          <t>Massís del Mont Blanc</t>
        </is>
      </c>
      <c r="E109" s="33" t="inlineStr">
        <is>
          <t>FR/IT</t>
        </is>
      </c>
      <c r="F109" s="33" t="inlineStr">
        <is>
          <t>Principal</t>
        </is>
      </c>
      <c r="G109" s="33"/>
      <c r="H109" s="54"/>
      <c r="I109" s="33"/>
      <c r="J109" s="53"/>
      <c r="K109" s="55" t="n">
        <v>45.868757</v>
      </c>
      <c r="L109" s="55" t="n">
        <v>6.97934</v>
      </c>
      <c r="M109" s="56" t="inlineStr">
        <is>
          <t>Mapa ↗</t>
        </is>
      </c>
    </row>
    <row r="110">
      <c r="A110" s="33" t="inlineStr">
        <is>
          <t>69</t>
        </is>
      </c>
      <c r="B110" s="32" t="inlineStr">
        <is>
          <t>Grünhorn</t>
        </is>
      </c>
      <c r="C110" s="52" t="n">
        <v>4044</v>
      </c>
      <c r="D110" s="53" t="inlineStr">
        <is>
          <t>Alps Bernesos</t>
        </is>
      </c>
      <c r="E110" s="33" t="inlineStr">
        <is>
          <t>CH</t>
        </is>
      </c>
      <c r="F110" s="33" t="inlineStr">
        <is>
          <t>Principal</t>
        </is>
      </c>
      <c r="G110" s="33"/>
      <c r="H110" s="54"/>
      <c r="I110" s="33"/>
      <c r="J110" s="53"/>
      <c r="K110" s="55" t="n">
        <v>46.531889</v>
      </c>
      <c r="L110" s="55" t="n">
        <v>8.077722</v>
      </c>
      <c r="M110" s="56" t="inlineStr">
        <is>
          <t>Mapa ↗</t>
        </is>
      </c>
    </row>
    <row r="111">
      <c r="A111" s="33" t="inlineStr">
        <is>
          <t>70</t>
        </is>
      </c>
      <c r="B111" s="32" t="inlineStr">
        <is>
          <t>Lauteraarhorn</t>
        </is>
      </c>
      <c r="C111" s="52" t="n">
        <v>4042</v>
      </c>
      <c r="D111" s="53" t="inlineStr">
        <is>
          <t>Alps Bernesos</t>
        </is>
      </c>
      <c r="E111" s="33" t="inlineStr">
        <is>
          <t>CH</t>
        </is>
      </c>
      <c r="F111" s="33" t="inlineStr">
        <is>
          <t>Principal</t>
        </is>
      </c>
      <c r="G111" s="33"/>
      <c r="H111" s="54"/>
      <c r="I111" s="33"/>
      <c r="J111" s="53"/>
      <c r="K111" s="55" t="n">
        <v>46.583389</v>
      </c>
      <c r="L111" s="55" t="n">
        <v>8.128417000000001</v>
      </c>
      <c r="M111" s="56" t="inlineStr">
        <is>
          <t>Mapa ↗</t>
        </is>
      </c>
    </row>
    <row r="112">
      <c r="A112" s="33" t="inlineStr">
        <is>
          <t>—</t>
        </is>
      </c>
      <c r="B112" s="32" t="inlineStr">
        <is>
          <t>Pic Eccles</t>
        </is>
      </c>
      <c r="C112" s="52" t="n">
        <v>4041</v>
      </c>
      <c r="D112" s="53" t="inlineStr">
        <is>
          <t>Massís del Mont Blanc</t>
        </is>
      </c>
      <c r="E112" s="33" t="inlineStr">
        <is>
          <t>IT</t>
        </is>
      </c>
      <c r="F112" s="33" t="inlineStr">
        <is>
          <t>Secundari</t>
        </is>
      </c>
      <c r="G112" s="33"/>
      <c r="H112" s="54"/>
      <c r="I112" s="33"/>
      <c r="J112" s="53"/>
      <c r="K112" s="55" t="n">
        <v>45.821849</v>
      </c>
      <c r="L112" s="55" t="n">
        <v>6.874492</v>
      </c>
      <c r="M112" s="56" t="inlineStr">
        <is>
          <t>Mapa ↗</t>
        </is>
      </c>
    </row>
    <row r="113">
      <c r="A113" s="33" t="inlineStr">
        <is>
          <t>—</t>
        </is>
      </c>
      <c r="B113" s="32" t="inlineStr">
        <is>
          <t>Dent d'Hérens (L'Épaule)</t>
        </is>
      </c>
      <c r="C113" s="52" t="n">
        <v>4040</v>
      </c>
      <c r="D113" s="53" t="inlineStr">
        <is>
          <t>Alps Penins</t>
        </is>
      </c>
      <c r="E113" s="33" t="inlineStr">
        <is>
          <t>CH/IT</t>
        </is>
      </c>
      <c r="F113" s="33" t="inlineStr">
        <is>
          <t>Secundari</t>
        </is>
      </c>
      <c r="G113" s="33"/>
      <c r="H113" s="54"/>
      <c r="I113" s="33"/>
      <c r="J113" s="53"/>
      <c r="K113" s="55" t="n"/>
      <c r="L113" s="55" t="n"/>
      <c r="M113" s="33" t="n"/>
    </row>
    <row r="114">
      <c r="A114" s="33" t="inlineStr">
        <is>
          <t>71</t>
        </is>
      </c>
      <c r="B114" s="32" t="inlineStr">
        <is>
          <t>Aiguille du Jardin</t>
        </is>
      </c>
      <c r="C114" s="52" t="n">
        <v>4035</v>
      </c>
      <c r="D114" s="53" t="inlineStr">
        <is>
          <t>Massís del Mont Blanc</t>
        </is>
      </c>
      <c r="E114" s="33" t="inlineStr">
        <is>
          <t>FR</t>
        </is>
      </c>
      <c r="F114" s="33" t="inlineStr">
        <is>
          <t>Principal</t>
        </is>
      </c>
      <c r="G114" s="33"/>
      <c r="H114" s="54"/>
      <c r="I114" s="33"/>
      <c r="J114" s="53"/>
      <c r="K114" s="55" t="n">
        <v>45.93389</v>
      </c>
      <c r="L114" s="55" t="n">
        <v>6.97583</v>
      </c>
      <c r="M114" s="56" t="inlineStr">
        <is>
          <t>Mapa ↗</t>
        </is>
      </c>
    </row>
    <row r="115">
      <c r="A115" s="33" t="inlineStr">
        <is>
          <t>72</t>
        </is>
      </c>
      <c r="B115" s="32" t="inlineStr">
        <is>
          <t>Dürrenhorn</t>
        </is>
      </c>
      <c r="C115" s="52" t="n">
        <v>4035</v>
      </c>
      <c r="D115" s="53" t="inlineStr">
        <is>
          <t>Mischabel</t>
        </is>
      </c>
      <c r="E115" s="33" t="inlineStr">
        <is>
          <t>CH</t>
        </is>
      </c>
      <c r="F115" s="33" t="inlineStr">
        <is>
          <t>Principal</t>
        </is>
      </c>
      <c r="G115" s="33"/>
      <c r="H115" s="54"/>
      <c r="I115" s="33"/>
      <c r="J115" s="53"/>
      <c r="K115" s="55" t="n">
        <v>46.11972</v>
      </c>
      <c r="L115" s="55" t="n">
        <v>7.84806</v>
      </c>
      <c r="M115" s="56" t="inlineStr">
        <is>
          <t>Mapa ↗</t>
        </is>
      </c>
    </row>
    <row r="116">
      <c r="A116" s="33" t="inlineStr">
        <is>
          <t>—</t>
        </is>
      </c>
      <c r="B116" s="32" t="inlineStr">
        <is>
          <t>Gendarme del Col Maudit</t>
        </is>
      </c>
      <c r="C116" s="52" t="n">
        <v>4032</v>
      </c>
      <c r="D116" s="53" t="inlineStr">
        <is>
          <t>Massís del Mont Blanc</t>
        </is>
      </c>
      <c r="E116" s="33" t="inlineStr">
        <is>
          <t>FR</t>
        </is>
      </c>
      <c r="F116" s="33" t="inlineStr">
        <is>
          <t>Secundari</t>
        </is>
      </c>
      <c r="G116" s="33"/>
      <c r="H116" s="54"/>
      <c r="I116" s="33"/>
      <c r="J116" s="53"/>
      <c r="K116" s="55" t="n"/>
      <c r="L116" s="55" t="n"/>
      <c r="M116" s="33" t="n"/>
    </row>
    <row r="117">
      <c r="A117" s="33" t="inlineStr">
        <is>
          <t>73</t>
        </is>
      </c>
      <c r="B117" s="32" t="inlineStr">
        <is>
          <t>Allalinhorn</t>
        </is>
      </c>
      <c r="C117" s="52" t="n">
        <v>4027</v>
      </c>
      <c r="D117" s="53" t="inlineStr">
        <is>
          <t>Mischabel</t>
        </is>
      </c>
      <c r="E117" s="33" t="inlineStr">
        <is>
          <t>CH</t>
        </is>
      </c>
      <c r="F117" s="33" t="inlineStr">
        <is>
          <t>Principal</t>
        </is>
      </c>
      <c r="G117" s="33"/>
      <c r="H117" s="54"/>
      <c r="I117" s="33"/>
      <c r="J117" s="53"/>
      <c r="K117" s="55" t="n">
        <v>46.046139</v>
      </c>
      <c r="L117" s="55" t="n">
        <v>7.894806</v>
      </c>
      <c r="M117" s="56" t="inlineStr">
        <is>
          <t>Mapa ↗</t>
        </is>
      </c>
    </row>
    <row r="118">
      <c r="A118" s="33" t="inlineStr">
        <is>
          <t>—</t>
        </is>
      </c>
      <c r="B118" s="32" t="inlineStr">
        <is>
          <t>Il Roc</t>
        </is>
      </c>
      <c r="C118" s="52" t="n">
        <v>4026</v>
      </c>
      <c r="D118" s="53" t="inlineStr">
        <is>
          <t>Gran Paradiso</t>
        </is>
      </c>
      <c r="E118" s="33" t="inlineStr">
        <is>
          <t>IT</t>
        </is>
      </c>
      <c r="F118" s="33" t="inlineStr">
        <is>
          <t>Secundari</t>
        </is>
      </c>
      <c r="G118" s="33"/>
      <c r="H118" s="54"/>
      <c r="I118" s="33"/>
      <c r="J118" s="53"/>
      <c r="K118" s="55" t="n">
        <v>45.515566</v>
      </c>
      <c r="L118" s="55" t="n">
        <v>7.269493</v>
      </c>
      <c r="M118" s="56" t="inlineStr">
        <is>
          <t>Mapa ↗</t>
        </is>
      </c>
    </row>
    <row r="119">
      <c r="A119" s="33" t="inlineStr">
        <is>
          <t>—</t>
        </is>
      </c>
      <c r="B119" s="32" t="inlineStr">
        <is>
          <t>Pointe Eveline</t>
        </is>
      </c>
      <c r="C119" s="52" t="n">
        <v>4026</v>
      </c>
      <c r="D119" s="53" t="inlineStr">
        <is>
          <t>Massís del Mont Blanc</t>
        </is>
      </c>
      <c r="E119" s="33" t="inlineStr">
        <is>
          <t>FR</t>
        </is>
      </c>
      <c r="F119" s="33" t="inlineStr">
        <is>
          <t>Secundari</t>
        </is>
      </c>
      <c r="G119" s="33"/>
      <c r="H119" s="54"/>
      <c r="I119" s="33"/>
      <c r="J119" s="53"/>
      <c r="K119" s="55" t="n"/>
      <c r="L119" s="55" t="n"/>
      <c r="M119" s="33" t="n"/>
    </row>
    <row r="120">
      <c r="A120" s="33" t="inlineStr">
        <is>
          <t>74</t>
        </is>
      </c>
      <c r="B120" s="32" t="inlineStr">
        <is>
          <t>Hinter Fiescherhorn</t>
        </is>
      </c>
      <c r="C120" s="52" t="n">
        <v>4025</v>
      </c>
      <c r="D120" s="53" t="inlineStr">
        <is>
          <t>Alps Bernesos</t>
        </is>
      </c>
      <c r="E120" s="33" t="inlineStr">
        <is>
          <t>CH</t>
        </is>
      </c>
      <c r="F120" s="33" t="inlineStr">
        <is>
          <t>Principal</t>
        </is>
      </c>
      <c r="G120" s="33"/>
      <c r="H120" s="54"/>
      <c r="I120" s="33"/>
      <c r="J120" s="53"/>
      <c r="K120" s="55" t="n">
        <v>46.5463</v>
      </c>
      <c r="L120" s="55" t="n">
        <v>8.0677</v>
      </c>
      <c r="M120" s="56" t="inlineStr">
        <is>
          <t>Mapa ↗</t>
        </is>
      </c>
    </row>
    <row r="121">
      <c r="A121" s="33" t="inlineStr">
        <is>
          <t>—</t>
        </is>
      </c>
      <c r="B121" s="32" t="inlineStr">
        <is>
          <t>Pointe Croux</t>
        </is>
      </c>
      <c r="C121" s="52" t="n">
        <v>4023</v>
      </c>
      <c r="D121" s="53" t="inlineStr">
        <is>
          <t>Massís del Mont Blanc</t>
        </is>
      </c>
      <c r="E121" s="33" t="inlineStr">
        <is>
          <t>FR</t>
        </is>
      </c>
      <c r="F121" s="33" t="inlineStr">
        <is>
          <t>Secundari</t>
        </is>
      </c>
      <c r="G121" s="33"/>
      <c r="H121" s="54"/>
      <c r="I121" s="33"/>
      <c r="J121" s="53"/>
      <c r="K121" s="55" t="n">
        <v>45.934427</v>
      </c>
      <c r="L121" s="55" t="n">
        <v>6.965405</v>
      </c>
      <c r="M121" s="56" t="inlineStr">
        <is>
          <t>Mapa ↗</t>
        </is>
      </c>
    </row>
    <row r="122">
      <c r="A122" s="33" t="inlineStr">
        <is>
          <t>—</t>
        </is>
      </c>
      <c r="B122" s="32" t="inlineStr">
        <is>
          <t>La Spedla (Punta Perrucchetti)</t>
        </is>
      </c>
      <c r="C122" s="52" t="n">
        <v>4020</v>
      </c>
      <c r="D122" s="53" t="inlineStr">
        <is>
          <t>Bernina</t>
        </is>
      </c>
      <c r="E122" s="33" t="inlineStr">
        <is>
          <t>CH/IT</t>
        </is>
      </c>
      <c r="F122" s="33" t="inlineStr">
        <is>
          <t>Secundari</t>
        </is>
      </c>
      <c r="G122" s="33"/>
      <c r="H122" s="54"/>
      <c r="I122" s="33"/>
      <c r="J122" s="53"/>
      <c r="K122" s="55" t="n">
        <v>46.380972</v>
      </c>
      <c r="L122" s="55" t="n">
        <v>9.907444</v>
      </c>
      <c r="M122" s="56" t="inlineStr">
        <is>
          <t>Mapa ↗</t>
        </is>
      </c>
    </row>
    <row r="123">
      <c r="A123" s="33" t="inlineStr">
        <is>
          <t>75</t>
        </is>
      </c>
      <c r="B123" s="32" t="inlineStr">
        <is>
          <t>Weissmies</t>
        </is>
      </c>
      <c r="C123" s="52" t="n">
        <v>4017</v>
      </c>
      <c r="D123" s="53" t="inlineStr">
        <is>
          <t>Alps Penins</t>
        </is>
      </c>
      <c r="E123" s="33" t="inlineStr">
        <is>
          <t>CH</t>
        </is>
      </c>
      <c r="F123" s="33" t="inlineStr">
        <is>
          <t>Principal</t>
        </is>
      </c>
      <c r="G123" s="33"/>
      <c r="H123" s="54"/>
      <c r="I123" s="33"/>
      <c r="J123" s="53"/>
      <c r="K123" s="55" t="n">
        <v>46.12778</v>
      </c>
      <c r="L123" s="55" t="n">
        <v>8.011939999999999</v>
      </c>
      <c r="M123" s="56" t="inlineStr">
        <is>
          <t>Mapa ↗</t>
        </is>
      </c>
    </row>
    <row r="124">
      <c r="A124" s="33" t="inlineStr">
        <is>
          <t>—</t>
        </is>
      </c>
      <c r="B124" s="32" t="inlineStr">
        <is>
          <t>Épaule du Zinalrothorn</t>
        </is>
      </c>
      <c r="C124" s="52" t="n">
        <v>4017</v>
      </c>
      <c r="D124" s="53" t="inlineStr">
        <is>
          <t>Alps Penins</t>
        </is>
      </c>
      <c r="E124" s="33" t="inlineStr">
        <is>
          <t>CH</t>
        </is>
      </c>
      <c r="F124" s="33" t="inlineStr">
        <is>
          <t>Secundari</t>
        </is>
      </c>
      <c r="G124" s="33"/>
      <c r="H124" s="54"/>
      <c r="I124" s="33"/>
      <c r="J124" s="53"/>
      <c r="K124" s="55" t="n">
        <v>46.069363</v>
      </c>
      <c r="L124" s="55" t="n">
        <v>7.687437</v>
      </c>
      <c r="M124" s="56" t="inlineStr">
        <is>
          <t>Mapa ↗</t>
        </is>
      </c>
    </row>
    <row r="125">
      <c r="A125" s="33" t="inlineStr">
        <is>
          <t>76</t>
        </is>
      </c>
      <c r="B125" s="32" t="inlineStr">
        <is>
          <t>Dôme de Rochefort</t>
        </is>
      </c>
      <c r="C125" s="52" t="n">
        <v>4015</v>
      </c>
      <c r="D125" s="53" t="inlineStr">
        <is>
          <t>Massís del Mont Blanc</t>
        </is>
      </c>
      <c r="E125" s="33" t="inlineStr">
        <is>
          <t>FR/IT</t>
        </is>
      </c>
      <c r="F125" s="33" t="inlineStr">
        <is>
          <t>Principal</t>
        </is>
      </c>
      <c r="G125" s="33"/>
      <c r="H125" s="54"/>
      <c r="I125" s="33"/>
      <c r="J125" s="53"/>
      <c r="K125" s="55" t="n">
        <v>45.86417</v>
      </c>
      <c r="L125" s="55" t="n">
        <v>6.9675</v>
      </c>
      <c r="M125" s="56" t="inlineStr">
        <is>
          <t>Mapa ↗</t>
        </is>
      </c>
    </row>
    <row r="126">
      <c r="A126" s="33" t="inlineStr">
        <is>
          <t>77</t>
        </is>
      </c>
      <c r="B126" s="32" t="inlineStr">
        <is>
          <t>Dôme de Neige des Écrins</t>
        </is>
      </c>
      <c r="C126" s="52" t="n">
        <v>4015</v>
      </c>
      <c r="D126" s="53" t="inlineStr">
        <is>
          <t>Écrins</t>
        </is>
      </c>
      <c r="E126" s="33" t="inlineStr">
        <is>
          <t>FR</t>
        </is>
      </c>
      <c r="F126" s="33" t="inlineStr">
        <is>
          <t>Principal</t>
        </is>
      </c>
      <c r="G126" s="33"/>
      <c r="H126" s="54"/>
      <c r="I126" s="33"/>
      <c r="J126" s="53"/>
      <c r="K126" s="55" t="n">
        <v>44.92428</v>
      </c>
      <c r="L126" s="55" t="n">
        <v>6.35409</v>
      </c>
      <c r="M126" s="56" t="inlineStr">
        <is>
          <t>Mapa ↗</t>
        </is>
      </c>
    </row>
    <row r="127">
      <c r="A127" s="33" t="inlineStr">
        <is>
          <t>78</t>
        </is>
      </c>
      <c r="B127" s="32" t="inlineStr">
        <is>
          <t>Dent du Géant</t>
        </is>
      </c>
      <c r="C127" s="52" t="n">
        <v>4013</v>
      </c>
      <c r="D127" s="53" t="inlineStr">
        <is>
          <t>Massís del Mont Blanc</t>
        </is>
      </c>
      <c r="E127" s="33" t="inlineStr">
        <is>
          <t>FR/IT</t>
        </is>
      </c>
      <c r="F127" s="33" t="inlineStr">
        <is>
          <t>Principal</t>
        </is>
      </c>
      <c r="G127" s="33"/>
      <c r="H127" s="54"/>
      <c r="I127" s="33"/>
      <c r="J127" s="53"/>
      <c r="K127" s="55" t="n">
        <v>45.86194</v>
      </c>
      <c r="L127" s="55" t="n">
        <v>6.95167</v>
      </c>
      <c r="M127" s="56" t="inlineStr">
        <is>
          <t>Mapa ↗</t>
        </is>
      </c>
    </row>
    <row r="128">
      <c r="A128" s="33" t="inlineStr">
        <is>
          <t>79</t>
        </is>
      </c>
      <c r="B128" s="32" t="inlineStr">
        <is>
          <t>Punta Baretti</t>
        </is>
      </c>
      <c r="C128" s="52" t="n">
        <v>4013</v>
      </c>
      <c r="D128" s="53" t="inlineStr">
        <is>
          <t>Massís del Mont Blanc</t>
        </is>
      </c>
      <c r="E128" s="33" t="inlineStr">
        <is>
          <t>IT</t>
        </is>
      </c>
      <c r="F128" s="33" t="inlineStr">
        <is>
          <t>Principal</t>
        </is>
      </c>
      <c r="G128" s="33"/>
      <c r="H128" s="54"/>
      <c r="I128" s="33"/>
      <c r="J128" s="53"/>
      <c r="K128" s="55" t="n">
        <v>45.81444</v>
      </c>
      <c r="L128" s="55" t="n">
        <v>6.86333</v>
      </c>
      <c r="M128" s="56" t="inlineStr">
        <is>
          <t>Mapa ↗</t>
        </is>
      </c>
    </row>
    <row r="129">
      <c r="A129" s="33" t="inlineStr">
        <is>
          <t>80</t>
        </is>
      </c>
      <c r="B129" s="32" t="inlineStr">
        <is>
          <t>Lagginhorn</t>
        </is>
      </c>
      <c r="C129" s="52" t="n">
        <v>4010</v>
      </c>
      <c r="D129" s="53" t="inlineStr">
        <is>
          <t>Alps Penins</t>
        </is>
      </c>
      <c r="E129" s="33" t="inlineStr">
        <is>
          <t>CH</t>
        </is>
      </c>
      <c r="F129" s="33" t="inlineStr">
        <is>
          <t>Principal</t>
        </is>
      </c>
      <c r="G129" s="33"/>
      <c r="H129" s="54"/>
      <c r="I129" s="33"/>
      <c r="J129" s="53"/>
      <c r="K129" s="55" t="n">
        <v>46.15722</v>
      </c>
      <c r="L129" s="55" t="n">
        <v>8.00306</v>
      </c>
      <c r="M129" s="56" t="inlineStr">
        <is>
          <t>Mapa ↗</t>
        </is>
      </c>
    </row>
    <row r="130">
      <c r="A130" s="33" t="inlineStr">
        <is>
          <t>—</t>
        </is>
      </c>
      <c r="B130" s="32" t="inlineStr">
        <is>
          <t>Piton des Italiens</t>
        </is>
      </c>
      <c r="C130" s="52" t="n">
        <v>4003</v>
      </c>
      <c r="D130" s="53" t="inlineStr">
        <is>
          <t>Massís del Mont Blanc</t>
        </is>
      </c>
      <c r="E130" s="33" t="inlineStr">
        <is>
          <t>FR/IT</t>
        </is>
      </c>
      <c r="F130" s="33" t="inlineStr">
        <is>
          <t>Secundari</t>
        </is>
      </c>
      <c r="G130" s="33"/>
      <c r="H130" s="54"/>
      <c r="I130" s="33"/>
      <c r="J130" s="53"/>
      <c r="K130" s="55" t="n">
        <v>45.837232</v>
      </c>
      <c r="L130" s="55" t="n">
        <v>6.830449</v>
      </c>
      <c r="M130" s="56" t="inlineStr">
        <is>
          <t>Mapa ↗</t>
        </is>
      </c>
    </row>
    <row r="131">
      <c r="A131" s="33" t="inlineStr">
        <is>
          <t>81</t>
        </is>
      </c>
      <c r="B131" s="32" t="inlineStr">
        <is>
          <t>Aiguille de Rochefort</t>
        </is>
      </c>
      <c r="C131" s="52" t="n">
        <v>4001</v>
      </c>
      <c r="D131" s="53" t="inlineStr">
        <is>
          <t>Massís del Mont Blanc</t>
        </is>
      </c>
      <c r="E131" s="33" t="inlineStr">
        <is>
          <t>FR/IT</t>
        </is>
      </c>
      <c r="F131" s="33" t="inlineStr">
        <is>
          <t>Principal</t>
        </is>
      </c>
      <c r="G131" s="33"/>
      <c r="H131" s="54"/>
      <c r="I131" s="33"/>
      <c r="J131" s="53"/>
      <c r="K131" s="55" t="n">
        <v>45.86194</v>
      </c>
      <c r="L131" s="55" t="n">
        <v>6.96</v>
      </c>
      <c r="M131" s="56" t="inlineStr">
        <is>
          <t>Mapa ↗</t>
        </is>
      </c>
    </row>
    <row r="132">
      <c r="A132" s="33" t="inlineStr">
        <is>
          <t>82</t>
        </is>
      </c>
      <c r="B132" s="32" t="inlineStr">
        <is>
          <t>Les Droites</t>
        </is>
      </c>
      <c r="C132" s="52" t="n">
        <v>4000</v>
      </c>
      <c r="D132" s="53" t="inlineStr">
        <is>
          <t>Massís del Mont Blanc</t>
        </is>
      </c>
      <c r="E132" s="33" t="inlineStr">
        <is>
          <t>FR</t>
        </is>
      </c>
      <c r="F132" s="33" t="inlineStr">
        <is>
          <t>Principal</t>
        </is>
      </c>
      <c r="G132" s="33"/>
      <c r="H132" s="54"/>
      <c r="I132" s="33"/>
      <c r="J132" s="53"/>
      <c r="K132" s="55" t="n">
        <v>45.93306</v>
      </c>
      <c r="L132" s="55" t="n">
        <v>6.98917</v>
      </c>
      <c r="M132" s="56" t="inlineStr">
        <is>
          <t>Mapa ↗</t>
        </is>
      </c>
    </row>
  </sheetData>
  <conditionalFormatting sqref="A5:M132">
    <cfRule type="expression" priority="1" dxfId="0">
      <formula>$G5="Sí"</formula>
    </cfRule>
  </conditionalFormatting>
  <conditionalFormatting sqref="G5:G132">
    <cfRule type="cellIs" priority="2" operator="equal" dxfId="2">
      <formula>"Sí"</formula>
    </cfRule>
    <cfRule type="cellIs" priority="3" operator="equal" dxfId="3">
      <formula>"No"</formula>
    </cfRule>
  </conditionalFormatting>
  <conditionalFormatting sqref="F5:F132">
    <cfRule type="cellIs" priority="4" operator="equal" dxfId="12">
      <formula>"Principal"</formula>
    </cfRule>
    <cfRule type="cellIs" priority="5" operator="equal" dxfId="8">
      <formula>"Secundari"</formula>
    </cfRule>
  </conditionalFormatting>
  <dataValidations count="1">
    <dataValidation sqref="G5:G132" showDropDown="0" showInputMessage="0" showErrorMessage="0" allowBlank="0" type="list">
      <formula1>"Sí,No"</formula1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10" r:id="rId5"/>
    <hyperlink xmlns:r="http://schemas.openxmlformats.org/officeDocument/2006/relationships" ref="M11" r:id="rId6"/>
    <hyperlink xmlns:r="http://schemas.openxmlformats.org/officeDocument/2006/relationships" ref="M12" r:id="rId7"/>
    <hyperlink xmlns:r="http://schemas.openxmlformats.org/officeDocument/2006/relationships" ref="M13" r:id="rId8"/>
    <hyperlink xmlns:r="http://schemas.openxmlformats.org/officeDocument/2006/relationships" ref="M14" r:id="rId9"/>
    <hyperlink xmlns:r="http://schemas.openxmlformats.org/officeDocument/2006/relationships" ref="M15" r:id="rId10"/>
    <hyperlink xmlns:r="http://schemas.openxmlformats.org/officeDocument/2006/relationships" ref="M16" r:id="rId11"/>
    <hyperlink xmlns:r="http://schemas.openxmlformats.org/officeDocument/2006/relationships" ref="M18" r:id="rId12"/>
    <hyperlink xmlns:r="http://schemas.openxmlformats.org/officeDocument/2006/relationships" ref="M19" r:id="rId13"/>
    <hyperlink xmlns:r="http://schemas.openxmlformats.org/officeDocument/2006/relationships" ref="M20" r:id="rId14"/>
    <hyperlink xmlns:r="http://schemas.openxmlformats.org/officeDocument/2006/relationships" ref="M21" r:id="rId15"/>
    <hyperlink xmlns:r="http://schemas.openxmlformats.org/officeDocument/2006/relationships" ref="M23" r:id="rId16"/>
    <hyperlink xmlns:r="http://schemas.openxmlformats.org/officeDocument/2006/relationships" ref="M25" r:id="rId17"/>
    <hyperlink xmlns:r="http://schemas.openxmlformats.org/officeDocument/2006/relationships" ref="M26" r:id="rId18"/>
    <hyperlink xmlns:r="http://schemas.openxmlformats.org/officeDocument/2006/relationships" ref="M27" r:id="rId19"/>
    <hyperlink xmlns:r="http://schemas.openxmlformats.org/officeDocument/2006/relationships" ref="M29" r:id="rId20"/>
    <hyperlink xmlns:r="http://schemas.openxmlformats.org/officeDocument/2006/relationships" ref="M30" r:id="rId21"/>
    <hyperlink xmlns:r="http://schemas.openxmlformats.org/officeDocument/2006/relationships" ref="M31" r:id="rId22"/>
    <hyperlink xmlns:r="http://schemas.openxmlformats.org/officeDocument/2006/relationships" ref="M32" r:id="rId23"/>
    <hyperlink xmlns:r="http://schemas.openxmlformats.org/officeDocument/2006/relationships" ref="M33" r:id="rId24"/>
    <hyperlink xmlns:r="http://schemas.openxmlformats.org/officeDocument/2006/relationships" ref="M34" r:id="rId25"/>
    <hyperlink xmlns:r="http://schemas.openxmlformats.org/officeDocument/2006/relationships" ref="M35" r:id="rId26"/>
    <hyperlink xmlns:r="http://schemas.openxmlformats.org/officeDocument/2006/relationships" ref="M36" r:id="rId27"/>
    <hyperlink xmlns:r="http://schemas.openxmlformats.org/officeDocument/2006/relationships" ref="M37" r:id="rId28"/>
    <hyperlink xmlns:r="http://schemas.openxmlformats.org/officeDocument/2006/relationships" ref="M38" r:id="rId29"/>
    <hyperlink xmlns:r="http://schemas.openxmlformats.org/officeDocument/2006/relationships" ref="M39" r:id="rId30"/>
    <hyperlink xmlns:r="http://schemas.openxmlformats.org/officeDocument/2006/relationships" ref="M40" r:id="rId31"/>
    <hyperlink xmlns:r="http://schemas.openxmlformats.org/officeDocument/2006/relationships" ref="M42" r:id="rId32"/>
    <hyperlink xmlns:r="http://schemas.openxmlformats.org/officeDocument/2006/relationships" ref="M43" r:id="rId33"/>
    <hyperlink xmlns:r="http://schemas.openxmlformats.org/officeDocument/2006/relationships" ref="M44" r:id="rId34"/>
    <hyperlink xmlns:r="http://schemas.openxmlformats.org/officeDocument/2006/relationships" ref="M45" r:id="rId35"/>
    <hyperlink xmlns:r="http://schemas.openxmlformats.org/officeDocument/2006/relationships" ref="M46" r:id="rId36"/>
    <hyperlink xmlns:r="http://schemas.openxmlformats.org/officeDocument/2006/relationships" ref="M47" r:id="rId37"/>
    <hyperlink xmlns:r="http://schemas.openxmlformats.org/officeDocument/2006/relationships" ref="M48" r:id="rId38"/>
    <hyperlink xmlns:r="http://schemas.openxmlformats.org/officeDocument/2006/relationships" ref="M49" r:id="rId39"/>
    <hyperlink xmlns:r="http://schemas.openxmlformats.org/officeDocument/2006/relationships" ref="M50" r:id="rId40"/>
    <hyperlink xmlns:r="http://schemas.openxmlformats.org/officeDocument/2006/relationships" ref="M51" r:id="rId41"/>
    <hyperlink xmlns:r="http://schemas.openxmlformats.org/officeDocument/2006/relationships" ref="M52" r:id="rId42"/>
    <hyperlink xmlns:r="http://schemas.openxmlformats.org/officeDocument/2006/relationships" ref="M53" r:id="rId43"/>
    <hyperlink xmlns:r="http://schemas.openxmlformats.org/officeDocument/2006/relationships" ref="M54" r:id="rId44"/>
    <hyperlink xmlns:r="http://schemas.openxmlformats.org/officeDocument/2006/relationships" ref="M55" r:id="rId45"/>
    <hyperlink xmlns:r="http://schemas.openxmlformats.org/officeDocument/2006/relationships" ref="M56" r:id="rId46"/>
    <hyperlink xmlns:r="http://schemas.openxmlformats.org/officeDocument/2006/relationships" ref="M57" r:id="rId47"/>
    <hyperlink xmlns:r="http://schemas.openxmlformats.org/officeDocument/2006/relationships" ref="M58" r:id="rId48"/>
    <hyperlink xmlns:r="http://schemas.openxmlformats.org/officeDocument/2006/relationships" ref="M59" r:id="rId49"/>
    <hyperlink xmlns:r="http://schemas.openxmlformats.org/officeDocument/2006/relationships" ref="M60" r:id="rId50"/>
    <hyperlink xmlns:r="http://schemas.openxmlformats.org/officeDocument/2006/relationships" ref="M62" r:id="rId51"/>
    <hyperlink xmlns:r="http://schemas.openxmlformats.org/officeDocument/2006/relationships" ref="M63" r:id="rId52"/>
    <hyperlink xmlns:r="http://schemas.openxmlformats.org/officeDocument/2006/relationships" ref="M64" r:id="rId53"/>
    <hyperlink xmlns:r="http://schemas.openxmlformats.org/officeDocument/2006/relationships" ref="M65" r:id="rId54"/>
    <hyperlink xmlns:r="http://schemas.openxmlformats.org/officeDocument/2006/relationships" ref="M67" r:id="rId55"/>
    <hyperlink xmlns:r="http://schemas.openxmlformats.org/officeDocument/2006/relationships" ref="M68" r:id="rId56"/>
    <hyperlink xmlns:r="http://schemas.openxmlformats.org/officeDocument/2006/relationships" ref="M69" r:id="rId57"/>
    <hyperlink xmlns:r="http://schemas.openxmlformats.org/officeDocument/2006/relationships" ref="M71" r:id="rId58"/>
    <hyperlink xmlns:r="http://schemas.openxmlformats.org/officeDocument/2006/relationships" ref="M73" r:id="rId59"/>
    <hyperlink xmlns:r="http://schemas.openxmlformats.org/officeDocument/2006/relationships" ref="M74" r:id="rId60"/>
    <hyperlink xmlns:r="http://schemas.openxmlformats.org/officeDocument/2006/relationships" ref="M75" r:id="rId61"/>
    <hyperlink xmlns:r="http://schemas.openxmlformats.org/officeDocument/2006/relationships" ref="M76" r:id="rId62"/>
    <hyperlink xmlns:r="http://schemas.openxmlformats.org/officeDocument/2006/relationships" ref="M78" r:id="rId63"/>
    <hyperlink xmlns:r="http://schemas.openxmlformats.org/officeDocument/2006/relationships" ref="M80" r:id="rId64"/>
    <hyperlink xmlns:r="http://schemas.openxmlformats.org/officeDocument/2006/relationships" ref="M81" r:id="rId65"/>
    <hyperlink xmlns:r="http://schemas.openxmlformats.org/officeDocument/2006/relationships" ref="M83" r:id="rId66"/>
    <hyperlink xmlns:r="http://schemas.openxmlformats.org/officeDocument/2006/relationships" ref="M84" r:id="rId67"/>
    <hyperlink xmlns:r="http://schemas.openxmlformats.org/officeDocument/2006/relationships" ref="M85" r:id="rId68"/>
    <hyperlink xmlns:r="http://schemas.openxmlformats.org/officeDocument/2006/relationships" ref="M87" r:id="rId69"/>
    <hyperlink xmlns:r="http://schemas.openxmlformats.org/officeDocument/2006/relationships" ref="M88" r:id="rId70"/>
    <hyperlink xmlns:r="http://schemas.openxmlformats.org/officeDocument/2006/relationships" ref="M90" r:id="rId71"/>
    <hyperlink xmlns:r="http://schemas.openxmlformats.org/officeDocument/2006/relationships" ref="M93" r:id="rId72"/>
    <hyperlink xmlns:r="http://schemas.openxmlformats.org/officeDocument/2006/relationships" ref="M94" r:id="rId73"/>
    <hyperlink xmlns:r="http://schemas.openxmlformats.org/officeDocument/2006/relationships" ref="M96" r:id="rId74"/>
    <hyperlink xmlns:r="http://schemas.openxmlformats.org/officeDocument/2006/relationships" ref="M97" r:id="rId75"/>
    <hyperlink xmlns:r="http://schemas.openxmlformats.org/officeDocument/2006/relationships" ref="M99" r:id="rId76"/>
    <hyperlink xmlns:r="http://schemas.openxmlformats.org/officeDocument/2006/relationships" ref="M100" r:id="rId77"/>
    <hyperlink xmlns:r="http://schemas.openxmlformats.org/officeDocument/2006/relationships" ref="M102" r:id="rId78"/>
    <hyperlink xmlns:r="http://schemas.openxmlformats.org/officeDocument/2006/relationships" ref="M103" r:id="rId79"/>
    <hyperlink xmlns:r="http://schemas.openxmlformats.org/officeDocument/2006/relationships" ref="M104" r:id="rId80"/>
    <hyperlink xmlns:r="http://schemas.openxmlformats.org/officeDocument/2006/relationships" ref="M105" r:id="rId81"/>
    <hyperlink xmlns:r="http://schemas.openxmlformats.org/officeDocument/2006/relationships" ref="M106" r:id="rId82"/>
    <hyperlink xmlns:r="http://schemas.openxmlformats.org/officeDocument/2006/relationships" ref="M107" r:id="rId83"/>
    <hyperlink xmlns:r="http://schemas.openxmlformats.org/officeDocument/2006/relationships" ref="M108" r:id="rId84"/>
    <hyperlink xmlns:r="http://schemas.openxmlformats.org/officeDocument/2006/relationships" ref="M109" r:id="rId85"/>
    <hyperlink xmlns:r="http://schemas.openxmlformats.org/officeDocument/2006/relationships" ref="M110" r:id="rId86"/>
    <hyperlink xmlns:r="http://schemas.openxmlformats.org/officeDocument/2006/relationships" ref="M111" r:id="rId87"/>
    <hyperlink xmlns:r="http://schemas.openxmlformats.org/officeDocument/2006/relationships" ref="M112" r:id="rId88"/>
    <hyperlink xmlns:r="http://schemas.openxmlformats.org/officeDocument/2006/relationships" ref="M114" r:id="rId89"/>
    <hyperlink xmlns:r="http://schemas.openxmlformats.org/officeDocument/2006/relationships" ref="M115" r:id="rId90"/>
    <hyperlink xmlns:r="http://schemas.openxmlformats.org/officeDocument/2006/relationships" ref="M117" r:id="rId91"/>
    <hyperlink xmlns:r="http://schemas.openxmlformats.org/officeDocument/2006/relationships" ref="M118" r:id="rId92"/>
    <hyperlink xmlns:r="http://schemas.openxmlformats.org/officeDocument/2006/relationships" ref="M120" r:id="rId93"/>
    <hyperlink xmlns:r="http://schemas.openxmlformats.org/officeDocument/2006/relationships" ref="M121" r:id="rId94"/>
    <hyperlink xmlns:r="http://schemas.openxmlformats.org/officeDocument/2006/relationships" ref="M122" r:id="rId95"/>
    <hyperlink xmlns:r="http://schemas.openxmlformats.org/officeDocument/2006/relationships" ref="M123" r:id="rId96"/>
    <hyperlink xmlns:r="http://schemas.openxmlformats.org/officeDocument/2006/relationships" ref="M124" r:id="rId97"/>
    <hyperlink xmlns:r="http://schemas.openxmlformats.org/officeDocument/2006/relationships" ref="M125" r:id="rId98"/>
    <hyperlink xmlns:r="http://schemas.openxmlformats.org/officeDocument/2006/relationships" ref="M126" r:id="rId99"/>
    <hyperlink xmlns:r="http://schemas.openxmlformats.org/officeDocument/2006/relationships" ref="M127" r:id="rId100"/>
    <hyperlink xmlns:r="http://schemas.openxmlformats.org/officeDocument/2006/relationships" ref="M128" r:id="rId101"/>
    <hyperlink xmlns:r="http://schemas.openxmlformats.org/officeDocument/2006/relationships" ref="M129" r:id="rId102"/>
    <hyperlink xmlns:r="http://schemas.openxmlformats.org/officeDocument/2006/relationships" ref="M130" r:id="rId103"/>
    <hyperlink xmlns:r="http://schemas.openxmlformats.org/officeDocument/2006/relationships" ref="M131" r:id="rId104"/>
    <hyperlink xmlns:r="http://schemas.openxmlformats.org/officeDocument/2006/relationships" ref="M132" r:id="rId105"/>
  </hyperlinks>
  <pageMargins left="0.75" right="0.75" top="1" bottom="1" header="0.5" footer="0.5"/>
  <tableParts count="1">
    <tablePart xmlns:r="http://schemas.openxmlformats.org/officeDocument/2006/relationships" r:id="rId106"/>
  </tableParts>
</worksheet>
</file>

<file path=xl/worksheets/sheet6.xml><?xml version="1.0" encoding="utf-8"?>
<worksheet xmlns="http://schemas.openxmlformats.org/spreadsheetml/2006/main">
  <sheetPr>
    <tabColor rgb="00F5D98B"/>
    <outlinePr summaryBelow="1" summaryRight="1"/>
    <pageSetUpPr/>
  </sheetPr>
  <dimension ref="A1:H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30" customWidth="1" min="4" max="4"/>
    <col width="18" customWidth="1" min="5" max="5"/>
    <col width="30" customWidth="1" min="6" max="6"/>
    <col width="10" customWidth="1" min="7" max="7"/>
    <col width="12" customWidth="1" min="8" max="8"/>
  </cols>
  <sheetData>
    <row r="1" ht="30" customHeight="1">
      <c r="A1" s="50" t="inlineStr">
        <is>
          <t>Sostres comarcals de Catalunya</t>
        </is>
      </c>
    </row>
    <row r="2" ht="18" customHeight="1">
      <c r="A2" s="2" t="inlineStr">
        <is>
          <t>43 sostres (un per comarca) · si el sostre és a la llista dels 100 Cims, «Assolit» i «Data» es llegeixen de «100 Cims FEEC»; si no, són editables</t>
        </is>
      </c>
    </row>
    <row r="4" ht="32" customHeight="1">
      <c r="A4" s="51" t="inlineStr">
        <is>
          <t>Comarca</t>
        </is>
      </c>
      <c r="B4" s="51" t="inlineStr">
        <is>
          <t>Cim</t>
        </is>
      </c>
      <c r="C4" s="51" t="inlineStr">
        <is>
          <t>Altitud (m)</t>
        </is>
      </c>
      <c r="D4" s="51" t="inlineStr">
        <is>
          <t>Serra / zona</t>
        </is>
      </c>
      <c r="E4" s="30" t="inlineStr">
        <is>
          <t>A la llista 100 Cims</t>
        </is>
      </c>
      <c r="F4" s="51" t="inlineStr">
        <is>
          <t>Nom a «100 Cims»</t>
        </is>
      </c>
      <c r="G4" s="51" t="inlineStr">
        <is>
          <t>Assolit</t>
        </is>
      </c>
      <c r="H4" s="51" t="inlineStr">
        <is>
          <t>Data</t>
        </is>
      </c>
    </row>
    <row r="5">
      <c r="A5" s="53" t="inlineStr">
        <is>
          <t>Pallars Sobirà</t>
        </is>
      </c>
      <c r="B5" s="32" t="inlineStr">
        <is>
          <t>Pica d'Estats</t>
        </is>
      </c>
      <c r="C5" s="52" t="n">
        <v>3143.5</v>
      </c>
      <c r="D5" s="53" t="inlineStr">
        <is>
          <t>Pirineu</t>
        </is>
      </c>
      <c r="E5" s="33" t="inlineStr">
        <is>
          <t>Essencial</t>
        </is>
      </c>
      <c r="F5" s="60" t="inlineStr">
        <is>
          <t>Pica d’Estats</t>
        </is>
      </c>
      <c r="G5" s="33">
        <f>IFERROR(INDEX('100 Cims FEEC'!$G$5:$G$526,MATCH(F5,'100 Cims FEEC'!$A$5:$A$526,0)),"No")</f>
        <v/>
      </c>
      <c r="H5" s="54">
        <f>IFERROR(IF(INDEX('100 Cims FEEC'!$H$5:$H$526,MATCH(F5,'100 Cims FEEC'!$A$5:$A$526,0))="","",INDEX('100 Cims FEEC'!$H$5:$H$526,MATCH(F5,'100 Cims FEEC'!$A$5:$A$526,0))),"")</f>
        <v/>
      </c>
    </row>
    <row r="6">
      <c r="A6" s="53" t="inlineStr">
        <is>
          <t>Alta Ribagorça</t>
        </is>
      </c>
      <c r="B6" s="32" t="inlineStr">
        <is>
          <t>Pic de Comaloforno</t>
        </is>
      </c>
      <c r="C6" s="52" t="n">
        <v>3029.2</v>
      </c>
      <c r="D6" s="53" t="inlineStr">
        <is>
          <t>Pirineu</t>
        </is>
      </c>
      <c r="E6" s="33" t="inlineStr">
        <is>
          <t>Essencial</t>
        </is>
      </c>
      <c r="F6" s="60" t="inlineStr">
        <is>
          <t>Pic de Comaloforno</t>
        </is>
      </c>
      <c r="G6" s="33">
        <f>IFERROR(INDEX('100 Cims FEEC'!$G$5:$G$526,MATCH(F6,'100 Cims FEEC'!$A$5:$A$526,0)),"No")</f>
        <v/>
      </c>
      <c r="H6" s="54">
        <f>IFERROR(IF(INDEX('100 Cims FEEC'!$H$5:$H$526,MATCH(F6,'100 Cims FEEC'!$A$5:$A$526,0))="","",INDEX('100 Cims FEEC'!$H$5:$H$526,MATCH(F6,'100 Cims FEEC'!$A$5:$A$526,0))),"")</f>
        <v/>
      </c>
    </row>
    <row r="7">
      <c r="A7" s="53" t="inlineStr">
        <is>
          <t>Val d'Aran</t>
        </is>
      </c>
      <c r="B7" s="32" t="inlineStr">
        <is>
          <t>Tuc de Molières</t>
        </is>
      </c>
      <c r="C7" s="52" t="n">
        <v>3010.1</v>
      </c>
      <c r="D7" s="53" t="inlineStr">
        <is>
          <t>Pirineu</t>
        </is>
      </c>
      <c r="E7" s="33" t="inlineStr">
        <is>
          <t>Essencial</t>
        </is>
      </c>
      <c r="F7" s="60" t="inlineStr">
        <is>
          <t>Tuc de Molières</t>
        </is>
      </c>
      <c r="G7" s="33">
        <f>IFERROR(INDEX('100 Cims FEEC'!$G$5:$G$526,MATCH(F7,'100 Cims FEEC'!$A$5:$A$526,0)),"No")</f>
        <v/>
      </c>
      <c r="H7" s="54">
        <f>IFERROR(IF(INDEX('100 Cims FEEC'!$H$5:$H$526,MATCH(F7,'100 Cims FEEC'!$A$5:$A$526,0))="","",INDEX('100 Cims FEEC'!$H$5:$H$526,MATCH(F7,'100 Cims FEEC'!$A$5:$A$526,0))),"")</f>
        <v/>
      </c>
    </row>
    <row r="8">
      <c r="A8" s="53" t="inlineStr">
        <is>
          <t>Pallars Jussà</t>
        </is>
      </c>
      <c r="B8" s="32" t="inlineStr">
        <is>
          <t>Pic de Peguera</t>
        </is>
      </c>
      <c r="C8" s="52" t="n">
        <v>2982.7</v>
      </c>
      <c r="D8" s="53" t="inlineStr">
        <is>
          <t>Pirineu</t>
        </is>
      </c>
      <c r="E8" s="33" t="inlineStr">
        <is>
          <t>Essencial</t>
        </is>
      </c>
      <c r="F8" s="60" t="inlineStr">
        <is>
          <t>Pic de Peguera</t>
        </is>
      </c>
      <c r="G8" s="33">
        <f>IFERROR(INDEX('100 Cims FEEC'!$G$5:$G$526,MATCH(F8,'100 Cims FEEC'!$A$5:$A$526,0)),"No")</f>
        <v/>
      </c>
      <c r="H8" s="54">
        <f>IFERROR(IF(INDEX('100 Cims FEEC'!$H$5:$H$526,MATCH(F8,'100 Cims FEEC'!$A$5:$A$526,0))="","",INDEX('100 Cims FEEC'!$H$5:$H$526,MATCH(F8,'100 Cims FEEC'!$A$5:$A$526,0))),"")</f>
        <v/>
      </c>
    </row>
    <row r="9">
      <c r="A9" s="53" t="inlineStr">
        <is>
          <t>Cerdanya</t>
        </is>
      </c>
      <c r="B9" s="32" t="inlineStr">
        <is>
          <t>Puigpedrós</t>
        </is>
      </c>
      <c r="C9" s="52" t="n">
        <v>2915</v>
      </c>
      <c r="D9" s="53" t="inlineStr">
        <is>
          <t>Pirineu</t>
        </is>
      </c>
      <c r="E9" s="33" t="inlineStr">
        <is>
          <t>Essencial</t>
        </is>
      </c>
      <c r="F9" s="60" t="inlineStr">
        <is>
          <t>Puigpedrós</t>
        </is>
      </c>
      <c r="G9" s="33">
        <f>IFERROR(INDEX('100 Cims FEEC'!$G$5:$G$526,MATCH(F9,'100 Cims FEEC'!$A$5:$A$526,0)),"No")</f>
        <v/>
      </c>
      <c r="H9" s="54">
        <f>IFERROR(IF(INDEX('100 Cims FEEC'!$H$5:$H$526,MATCH(F9,'100 Cims FEEC'!$A$5:$A$526,0))="","",INDEX('100 Cims FEEC'!$H$5:$H$526,MATCH(F9,'100 Cims FEEC'!$A$5:$A$526,0))),"")</f>
        <v/>
      </c>
    </row>
    <row r="10">
      <c r="A10" s="53" t="inlineStr">
        <is>
          <t>Ripollès</t>
        </is>
      </c>
      <c r="B10" s="32" t="inlineStr">
        <is>
          <t>Puigmal</t>
        </is>
      </c>
      <c r="C10" s="52" t="n">
        <v>2909.8</v>
      </c>
      <c r="D10" s="53" t="inlineStr">
        <is>
          <t>Pirineu</t>
        </is>
      </c>
      <c r="E10" s="33" t="inlineStr">
        <is>
          <t>Essencial</t>
        </is>
      </c>
      <c r="F10" s="60" t="inlineStr">
        <is>
          <t>Puigmal</t>
        </is>
      </c>
      <c r="G10" s="33">
        <f>IFERROR(INDEX('100 Cims FEEC'!$G$5:$G$526,MATCH(F10,'100 Cims FEEC'!$A$5:$A$526,0)),"No")</f>
        <v/>
      </c>
      <c r="H10" s="54">
        <f>IFERROR(IF(INDEX('100 Cims FEEC'!$H$5:$H$526,MATCH(F10,'100 Cims FEEC'!$A$5:$A$526,0))="","",INDEX('100 Cims FEEC'!$H$5:$H$526,MATCH(F10,'100 Cims FEEC'!$A$5:$A$526,0))),"")</f>
        <v/>
      </c>
    </row>
    <row r="11">
      <c r="A11" s="53" t="inlineStr">
        <is>
          <t>Alt Urgell</t>
        </is>
      </c>
      <c r="B11" s="32" t="inlineStr">
        <is>
          <t>Pic de Salòria</t>
        </is>
      </c>
      <c r="C11" s="52" t="n">
        <v>2789</v>
      </c>
      <c r="D11" s="53" t="inlineStr">
        <is>
          <t>Pirineu</t>
        </is>
      </c>
      <c r="E11" s="33" t="inlineStr">
        <is>
          <t>Essencial</t>
        </is>
      </c>
      <c r="F11" s="60" t="inlineStr">
        <is>
          <t>Pic de Salòria</t>
        </is>
      </c>
      <c r="G11" s="33">
        <f>IFERROR(INDEX('100 Cims FEEC'!$G$5:$G$526,MATCH(F11,'100 Cims FEEC'!$A$5:$A$526,0)),"No")</f>
        <v/>
      </c>
      <c r="H11" s="54">
        <f>IFERROR(IF(INDEX('100 Cims FEEC'!$H$5:$H$526,MATCH(F11,'100 Cims FEEC'!$A$5:$A$526,0))="","",INDEX('100 Cims FEEC'!$H$5:$H$526,MATCH(F11,'100 Cims FEEC'!$A$5:$A$526,0))),"")</f>
        <v/>
      </c>
    </row>
    <row r="12">
      <c r="A12" s="53" t="inlineStr">
        <is>
          <t>Berguedà</t>
        </is>
      </c>
      <c r="B12" s="32" t="inlineStr">
        <is>
          <t>Pic de Costa Cabirolera</t>
        </is>
      </c>
      <c r="C12" s="52" t="n">
        <v>2604.4</v>
      </c>
      <c r="D12" s="53" t="inlineStr">
        <is>
          <t>Serra del Cadí</t>
        </is>
      </c>
      <c r="E12" s="33" t="inlineStr">
        <is>
          <t>No essencial</t>
        </is>
      </c>
      <c r="F12" s="60" t="inlineStr">
        <is>
          <t>Pic de Costa Cabirolera</t>
        </is>
      </c>
      <c r="G12" s="33">
        <f>IFERROR(INDEX('100 Cims FEEC'!$G$5:$G$526,MATCH(F12,'100 Cims FEEC'!$A$5:$A$526,0)),"No")</f>
        <v/>
      </c>
      <c r="H12" s="54">
        <f>IFERROR(IF(INDEX('100 Cims FEEC'!$H$5:$H$526,MATCH(F12,'100 Cims FEEC'!$A$5:$A$526,0))="","",INDEX('100 Cims FEEC'!$H$5:$H$526,MATCH(F12,'100 Cims FEEC'!$A$5:$A$526,0))),"")</f>
        <v/>
      </c>
    </row>
    <row r="13">
      <c r="A13" s="53" t="inlineStr">
        <is>
          <t>Solsonès</t>
        </is>
      </c>
      <c r="B13" s="32" t="inlineStr">
        <is>
          <t>Pedró dels Quatre Batlles</t>
        </is>
      </c>
      <c r="C13" s="52" t="n">
        <v>2383</v>
      </c>
      <c r="D13" s="53" t="inlineStr">
        <is>
          <t>Port del Comte</t>
        </is>
      </c>
      <c r="E13" s="33" t="inlineStr">
        <is>
          <t>No essencial</t>
        </is>
      </c>
      <c r="F13" s="60" t="inlineStr">
        <is>
          <t>Pedró dels Quatre Batlles</t>
        </is>
      </c>
      <c r="G13" s="33">
        <f>IFERROR(INDEX('100 Cims FEEC'!$G$5:$G$526,MATCH(F13,'100 Cims FEEC'!$A$5:$A$526,0)),"No")</f>
        <v/>
      </c>
      <c r="H13" s="54">
        <f>IFERROR(IF(INDEX('100 Cims FEEC'!$H$5:$H$526,MATCH(F13,'100 Cims FEEC'!$A$5:$A$526,0))="","",INDEX('100 Cims FEEC'!$H$5:$H$526,MATCH(F13,'100 Cims FEEC'!$A$5:$A$526,0))),"")</f>
        <v/>
      </c>
    </row>
    <row r="14">
      <c r="A14" s="53" t="inlineStr">
        <is>
          <t>Vallès Oriental</t>
        </is>
      </c>
      <c r="B14" s="32" t="inlineStr">
        <is>
          <t>Turó de l'Home</t>
        </is>
      </c>
      <c r="C14" s="52" t="n">
        <v>1705.78</v>
      </c>
      <c r="D14" s="53" t="inlineStr">
        <is>
          <t>Montseny</t>
        </is>
      </c>
      <c r="E14" s="33" t="inlineStr">
        <is>
          <t>No essencial</t>
        </is>
      </c>
      <c r="F14" s="60" t="inlineStr">
        <is>
          <t>Turó de l’Home</t>
        </is>
      </c>
      <c r="G14" s="33">
        <f>IFERROR(INDEX('100 Cims FEEC'!$G$5:$G$526,MATCH(F14,'100 Cims FEEC'!$A$5:$A$526,0)),"No")</f>
        <v/>
      </c>
      <c r="H14" s="54">
        <f>IFERROR(IF(INDEX('100 Cims FEEC'!$H$5:$H$526,MATCH(F14,'100 Cims FEEC'!$A$5:$A$526,0))="","",INDEX('100 Cims FEEC'!$H$5:$H$526,MATCH(F14,'100 Cims FEEC'!$A$5:$A$526,0))),"")</f>
        <v/>
      </c>
    </row>
    <row r="15">
      <c r="A15" s="53" t="inlineStr">
        <is>
          <t>Selva</t>
        </is>
      </c>
      <c r="B15" s="32" t="inlineStr">
        <is>
          <t>Les Agudes</t>
        </is>
      </c>
      <c r="C15" s="52" t="n">
        <v>1705.5</v>
      </c>
      <c r="D15" s="53" t="inlineStr">
        <is>
          <t>Montseny</t>
        </is>
      </c>
      <c r="E15" s="33" t="inlineStr">
        <is>
          <t>Essencial</t>
        </is>
      </c>
      <c r="F15" s="60" t="inlineStr">
        <is>
          <t>Les Agudes</t>
        </is>
      </c>
      <c r="G15" s="33">
        <f>IFERROR(INDEX('100 Cims FEEC'!$G$5:$G$526,MATCH(F15,'100 Cims FEEC'!$A$5:$A$526,0)),"No")</f>
        <v/>
      </c>
      <c r="H15" s="54">
        <f>IFERROR(IF(INDEX('100 Cims FEEC'!$H$5:$H$526,MATCH(F15,'100 Cims FEEC'!$A$5:$A$526,0))="","",INDEX('100 Cims FEEC'!$H$5:$H$526,MATCH(F15,'100 Cims FEEC'!$A$5:$A$526,0))),"")</f>
        <v/>
      </c>
    </row>
    <row r="16">
      <c r="A16" s="53" t="inlineStr">
        <is>
          <t>Osona</t>
        </is>
      </c>
      <c r="B16" s="32" t="inlineStr">
        <is>
          <t>Matagalls</t>
        </is>
      </c>
      <c r="C16" s="52" t="n">
        <v>1697.22</v>
      </c>
      <c r="D16" s="53" t="inlineStr">
        <is>
          <t>Montseny</t>
        </is>
      </c>
      <c r="E16" s="33" t="inlineStr">
        <is>
          <t>Essencial</t>
        </is>
      </c>
      <c r="F16" s="60" t="inlineStr">
        <is>
          <t>Matagalls</t>
        </is>
      </c>
      <c r="G16" s="33">
        <f>IFERROR(INDEX('100 Cims FEEC'!$G$5:$G$526,MATCH(F16,'100 Cims FEEC'!$A$5:$A$526,0)),"No")</f>
        <v/>
      </c>
      <c r="H16" s="54">
        <f>IFERROR(IF(INDEX('100 Cims FEEC'!$H$5:$H$526,MATCH(F16,'100 Cims FEEC'!$A$5:$A$526,0))="","",INDEX('100 Cims FEEC'!$H$5:$H$526,MATCH(F16,'100 Cims FEEC'!$A$5:$A$526,0))),"")</f>
        <v/>
      </c>
    </row>
    <row r="17">
      <c r="A17" s="53" t="inlineStr">
        <is>
          <t>Noguera</t>
        </is>
      </c>
      <c r="B17" s="32" t="inlineStr">
        <is>
          <t>Tossal de les Torretes</t>
        </is>
      </c>
      <c r="C17" s="52" t="n">
        <v>1676.4</v>
      </c>
      <c r="D17" s="53" t="inlineStr">
        <is>
          <t>Montsec de Rúbies</t>
        </is>
      </c>
      <c r="E17" s="33" t="inlineStr">
        <is>
          <t>No</t>
        </is>
      </c>
      <c r="F17" s="60" t="n"/>
      <c r="G17" s="33"/>
      <c r="H17" s="54"/>
    </row>
    <row r="18">
      <c r="A18" s="53" t="inlineStr">
        <is>
          <t>Garrotxa</t>
        </is>
      </c>
      <c r="B18" s="32" t="inlineStr">
        <is>
          <t>Comanegra</t>
        </is>
      </c>
      <c r="C18" s="52" t="n">
        <v>1557.4</v>
      </c>
      <c r="D18" s="53" t="inlineStr">
        <is>
          <t>Pirineu</t>
        </is>
      </c>
      <c r="E18" s="33" t="inlineStr">
        <is>
          <t>Essencial</t>
        </is>
      </c>
      <c r="F18" s="60" t="inlineStr">
        <is>
          <t>Comanegra</t>
        </is>
      </c>
      <c r="G18" s="33">
        <f>IFERROR(INDEX('100 Cims FEEC'!$G$5:$G$526,MATCH(F18,'100 Cims FEEC'!$A$5:$A$526,0)),"No")</f>
        <v/>
      </c>
      <c r="H18" s="54">
        <f>IFERROR(IF(INDEX('100 Cims FEEC'!$H$5:$H$526,MATCH(F18,'100 Cims FEEC'!$A$5:$A$526,0))="","",INDEX('100 Cims FEEC'!$H$5:$H$526,MATCH(F18,'100 Cims FEEC'!$A$5:$A$526,0))),"")</f>
        <v/>
      </c>
    </row>
    <row r="19">
      <c r="A19" s="53" t="inlineStr">
        <is>
          <t>Alt Empordà</t>
        </is>
      </c>
      <c r="B19" s="32" t="inlineStr">
        <is>
          <t>Roc del Comptador</t>
        </is>
      </c>
      <c r="C19" s="52" t="n">
        <v>1451</v>
      </c>
      <c r="D19" s="53" t="inlineStr">
        <is>
          <t>Pirineu-Les Salines</t>
        </is>
      </c>
      <c r="E19" s="33" t="inlineStr">
        <is>
          <t>Essencial</t>
        </is>
      </c>
      <c r="F19" s="60" t="inlineStr">
        <is>
          <t>Roc del Comptador</t>
        </is>
      </c>
      <c r="G19" s="33">
        <f>IFERROR(INDEX('100 Cims FEEC'!$G$5:$G$526,MATCH(F19,'100 Cims FEEC'!$A$5:$A$526,0)),"No")</f>
        <v/>
      </c>
      <c r="H19" s="54">
        <f>IFERROR(IF(INDEX('100 Cims FEEC'!$H$5:$H$526,MATCH(F19,'100 Cims FEEC'!$A$5:$A$526,0))="","",INDEX('100 Cims FEEC'!$H$5:$H$526,MATCH(F19,'100 Cims FEEC'!$A$5:$A$526,0))),"")</f>
        <v/>
      </c>
    </row>
    <row r="20">
      <c r="A20" s="53" t="inlineStr">
        <is>
          <t>Baix Ebre</t>
        </is>
      </c>
      <c r="B20" s="32" t="inlineStr">
        <is>
          <t>Caro</t>
        </is>
      </c>
      <c r="C20" s="52" t="n">
        <v>1440.6</v>
      </c>
      <c r="D20" s="53" t="inlineStr">
        <is>
          <t>Ports de Tortosa-Beseit</t>
        </is>
      </c>
      <c r="E20" s="33" t="inlineStr">
        <is>
          <t>Essencial</t>
        </is>
      </c>
      <c r="F20" s="60" t="inlineStr">
        <is>
          <t>Caro</t>
        </is>
      </c>
      <c r="G20" s="33">
        <f>IFERROR(INDEX('100 Cims FEEC'!$G$5:$G$526,MATCH(F20,'100 Cims FEEC'!$A$5:$A$526,0)),"No")</f>
        <v/>
      </c>
      <c r="H20" s="54">
        <f>IFERROR(IF(INDEX('100 Cims FEEC'!$H$5:$H$526,MATCH(F20,'100 Cims FEEC'!$A$5:$A$526,0))="","",INDEX('100 Cims FEEC'!$H$5:$H$526,MATCH(F20,'100 Cims FEEC'!$A$5:$A$526,0))),"")</f>
        <v/>
      </c>
    </row>
    <row r="21">
      <c r="A21" s="53" t="inlineStr">
        <is>
          <t>Montsià</t>
        </is>
      </c>
      <c r="B21" s="32" t="inlineStr">
        <is>
          <t>Tossal dels Tres Reis</t>
        </is>
      </c>
      <c r="C21" s="52" t="n">
        <v>1350.3</v>
      </c>
      <c r="D21" s="53" t="inlineStr">
        <is>
          <t>Ports de Tortosa-Beseit</t>
        </is>
      </c>
      <c r="E21" s="33" t="inlineStr">
        <is>
          <t>Essencial</t>
        </is>
      </c>
      <c r="F21" s="60" t="inlineStr">
        <is>
          <t>Tossal dels Tres Reis</t>
        </is>
      </c>
      <c r="G21" s="33">
        <f>IFERROR(INDEX('100 Cims FEEC'!$G$5:$G$526,MATCH(F21,'100 Cims FEEC'!$A$5:$A$526,0)),"No")</f>
        <v/>
      </c>
      <c r="H21" s="54">
        <f>IFERROR(IF(INDEX('100 Cims FEEC'!$H$5:$H$526,MATCH(F21,'100 Cims FEEC'!$A$5:$A$526,0))="","",INDEX('100 Cims FEEC'!$H$5:$H$526,MATCH(F21,'100 Cims FEEC'!$A$5:$A$526,0))),"")</f>
        <v/>
      </c>
    </row>
    <row r="22">
      <c r="A22" s="53" t="inlineStr">
        <is>
          <t>Bages</t>
        </is>
      </c>
      <c r="B22" s="32" t="inlineStr">
        <is>
          <t>Sant Jeroni</t>
        </is>
      </c>
      <c r="C22" s="52" t="n">
        <v>1235.6</v>
      </c>
      <c r="D22" s="53" t="inlineStr">
        <is>
          <t>Montserrat</t>
        </is>
      </c>
      <c r="E22" s="33" t="inlineStr">
        <is>
          <t>Essencial</t>
        </is>
      </c>
      <c r="F22" s="60" t="inlineStr">
        <is>
          <t>Sant Jeroni</t>
        </is>
      </c>
      <c r="G22" s="33">
        <f>IFERROR(INDEX('100 Cims FEEC'!$G$5:$G$526,MATCH(F22,'100 Cims FEEC'!$A$5:$A$526,0)),"No")</f>
        <v/>
      </c>
      <c r="H22" s="54">
        <f>IFERROR(IF(INDEX('100 Cims FEEC'!$H$5:$H$526,MATCH(F22,'100 Cims FEEC'!$A$5:$A$526,0))="","",INDEX('100 Cims FEEC'!$H$5:$H$526,MATCH(F22,'100 Cims FEEC'!$A$5:$A$526,0))),"")</f>
        <v/>
      </c>
    </row>
    <row r="23">
      <c r="A23" s="53" t="inlineStr">
        <is>
          <t>Anoia</t>
        </is>
      </c>
      <c r="B23" s="32" t="inlineStr">
        <is>
          <t>Sant Jeroni</t>
        </is>
      </c>
      <c r="C23" s="52" t="n">
        <v>1235.6</v>
      </c>
      <c r="D23" s="53" t="inlineStr">
        <is>
          <t>Montserrat</t>
        </is>
      </c>
      <c r="E23" s="33" t="inlineStr">
        <is>
          <t>Essencial</t>
        </is>
      </c>
      <c r="F23" s="60" t="inlineStr">
        <is>
          <t>Sant Jeroni</t>
        </is>
      </c>
      <c r="G23" s="33">
        <f>IFERROR(INDEX('100 Cims FEEC'!$G$5:$G$526,MATCH(F23,'100 Cims FEEC'!$A$5:$A$526,0)),"No")</f>
        <v/>
      </c>
      <c r="H23" s="54">
        <f>IFERROR(IF(INDEX('100 Cims FEEC'!$H$5:$H$526,MATCH(F23,'100 Cims FEEC'!$A$5:$A$526,0))="","",INDEX('100 Cims FEEC'!$H$5:$H$526,MATCH(F23,'100 Cims FEEC'!$A$5:$A$526,0))),"")</f>
        <v/>
      </c>
    </row>
    <row r="24">
      <c r="A24" s="53" t="inlineStr">
        <is>
          <t>Terra Alta</t>
        </is>
      </c>
      <c r="B24" s="32" t="inlineStr">
        <is>
          <t>Tosseta Rasa</t>
        </is>
      </c>
      <c r="C24" s="52" t="n">
        <v>1216.7</v>
      </c>
      <c r="D24" s="53" t="inlineStr">
        <is>
          <t>Ports de Tortosa-Beseit</t>
        </is>
      </c>
      <c r="E24" s="33" t="inlineStr">
        <is>
          <t>No essencial</t>
        </is>
      </c>
      <c r="F24" s="60" t="inlineStr">
        <is>
          <t>Tosseta Rasa</t>
        </is>
      </c>
      <c r="G24" s="33">
        <f>IFERROR(INDEX('100 Cims FEEC'!$G$5:$G$526,MATCH(F24,'100 Cims FEEC'!$A$5:$A$526,0)),"No")</f>
        <v/>
      </c>
      <c r="H24" s="54">
        <f>IFERROR(IF(INDEX('100 Cims FEEC'!$H$5:$H$526,MATCH(F24,'100 Cims FEEC'!$A$5:$A$526,0))="","",INDEX('100 Cims FEEC'!$H$5:$H$526,MATCH(F24,'100 Cims FEEC'!$A$5:$A$526,0))),"")</f>
        <v/>
      </c>
    </row>
    <row r="25">
      <c r="A25" s="53" t="inlineStr">
        <is>
          <t>Lluçanès</t>
        </is>
      </c>
      <c r="B25" s="32" t="inlineStr">
        <is>
          <t>Puigdon</t>
        </is>
      </c>
      <c r="C25" s="52" t="n">
        <v>1206</v>
      </c>
      <c r="D25" s="53" t="n"/>
      <c r="E25" s="33" t="inlineStr">
        <is>
          <t>No</t>
        </is>
      </c>
      <c r="F25" s="60" t="n"/>
      <c r="G25" s="33"/>
      <c r="H25" s="54"/>
    </row>
    <row r="26">
      <c r="A26" s="53" t="inlineStr">
        <is>
          <t>Baix Camp</t>
        </is>
      </c>
      <c r="B26" s="32" t="inlineStr">
        <is>
          <t>Tossal de la Baltasana</t>
        </is>
      </c>
      <c r="C26" s="52" t="n">
        <v>1201.9</v>
      </c>
      <c r="D26" s="53" t="inlineStr">
        <is>
          <t>Muntanyes de Prades</t>
        </is>
      </c>
      <c r="E26" s="33" t="inlineStr">
        <is>
          <t>Essencial</t>
        </is>
      </c>
      <c r="F26" s="60" t="inlineStr">
        <is>
          <t>Tossal de la Baltasana</t>
        </is>
      </c>
      <c r="G26" s="33">
        <f>IFERROR(INDEX('100 Cims FEEC'!$G$5:$G$526,MATCH(F26,'100 Cims FEEC'!$A$5:$A$526,0)),"No")</f>
        <v/>
      </c>
      <c r="H26" s="54">
        <f>IFERROR(IF(INDEX('100 Cims FEEC'!$H$5:$H$526,MATCH(F26,'100 Cims FEEC'!$A$5:$A$526,0))="","",INDEX('100 Cims FEEC'!$H$5:$H$526,MATCH(F26,'100 Cims FEEC'!$A$5:$A$526,0))),"")</f>
        <v/>
      </c>
    </row>
    <row r="27">
      <c r="A27" s="53" t="inlineStr">
        <is>
          <t>Conca de Barberà</t>
        </is>
      </c>
      <c r="B27" s="32" t="inlineStr">
        <is>
          <t>Tossal de la Baltasana</t>
        </is>
      </c>
      <c r="C27" s="52" t="n">
        <v>1201.9</v>
      </c>
      <c r="D27" s="53" t="inlineStr">
        <is>
          <t>Muntanyes de Prades</t>
        </is>
      </c>
      <c r="E27" s="33" t="inlineStr">
        <is>
          <t>Essencial</t>
        </is>
      </c>
      <c r="F27" s="60" t="inlineStr">
        <is>
          <t>Tossal de la Baltasana</t>
        </is>
      </c>
      <c r="G27" s="33">
        <f>IFERROR(INDEX('100 Cims FEEC'!$G$5:$G$526,MATCH(F27,'100 Cims FEEC'!$A$5:$A$526,0)),"No")</f>
        <v/>
      </c>
      <c r="H27" s="54">
        <f>IFERROR(IF(INDEX('100 Cims FEEC'!$H$5:$H$526,MATCH(F27,'100 Cims FEEC'!$A$5:$A$526,0))="","",INDEX('100 Cims FEEC'!$H$5:$H$526,MATCH(F27,'100 Cims FEEC'!$A$5:$A$526,0))),"")</f>
        <v/>
      </c>
    </row>
    <row r="28">
      <c r="A28" s="53" t="inlineStr">
        <is>
          <t>Baix Llobregat</t>
        </is>
      </c>
      <c r="B28" s="32" t="inlineStr">
        <is>
          <t>L'Albarda Castellana</t>
        </is>
      </c>
      <c r="C28" s="52" t="n">
        <v>1177</v>
      </c>
      <c r="D28" s="53" t="inlineStr">
        <is>
          <t>Montserrat</t>
        </is>
      </c>
      <c r="E28" s="33" t="inlineStr">
        <is>
          <t>No essencial</t>
        </is>
      </c>
      <c r="F28" s="60" t="inlineStr">
        <is>
          <t>L’Albarda Castellana</t>
        </is>
      </c>
      <c r="G28" s="33">
        <f>IFERROR(INDEX('100 Cims FEEC'!$G$5:$G$526,MATCH(F28,'100 Cims FEEC'!$A$5:$A$526,0)),"No")</f>
        <v/>
      </c>
      <c r="H28" s="54">
        <f>IFERROR(IF(INDEX('100 Cims FEEC'!$H$5:$H$526,MATCH(F28,'100 Cims FEEC'!$A$5:$A$526,0))="","",INDEX('100 Cims FEEC'!$H$5:$H$526,MATCH(F28,'100 Cims FEEC'!$A$5:$A$526,0))),"")</f>
        <v/>
      </c>
    </row>
    <row r="29">
      <c r="A29" s="53" t="inlineStr">
        <is>
          <t>Priorat</t>
        </is>
      </c>
      <c r="B29" s="32" t="inlineStr">
        <is>
          <t>Roca Corbatera</t>
        </is>
      </c>
      <c r="C29" s="52" t="n">
        <v>1162.8</v>
      </c>
      <c r="D29" s="53" t="inlineStr">
        <is>
          <t>Serra de Montsant</t>
        </is>
      </c>
      <c r="E29" s="33" t="inlineStr">
        <is>
          <t>Essencial</t>
        </is>
      </c>
      <c r="F29" s="60" t="inlineStr">
        <is>
          <t>Roca Corbatera</t>
        </is>
      </c>
      <c r="G29" s="33">
        <f>IFERROR(INDEX('100 Cims FEEC'!$G$5:$G$526,MATCH(F29,'100 Cims FEEC'!$A$5:$A$526,0)),"No")</f>
        <v/>
      </c>
      <c r="H29" s="54">
        <f>IFERROR(IF(INDEX('100 Cims FEEC'!$H$5:$H$526,MATCH(F29,'100 Cims FEEC'!$A$5:$A$526,0))="","",INDEX('100 Cims FEEC'!$H$5:$H$526,MATCH(F29,'100 Cims FEEC'!$A$5:$A$526,0))),"")</f>
        <v/>
      </c>
    </row>
    <row r="30">
      <c r="A30" s="53" t="inlineStr">
        <is>
          <t>Vallès Occidental</t>
        </is>
      </c>
      <c r="B30" s="32" t="inlineStr">
        <is>
          <t>La Mola</t>
        </is>
      </c>
      <c r="C30" s="52" t="n">
        <v>1103.25</v>
      </c>
      <c r="D30" s="53" t="inlineStr">
        <is>
          <t>Serralada Prelitoral</t>
        </is>
      </c>
      <c r="E30" s="33" t="inlineStr">
        <is>
          <t>Essencial</t>
        </is>
      </c>
      <c r="F30" s="60" t="inlineStr">
        <is>
          <t>La Mola de Sant Llorenç del Munt</t>
        </is>
      </c>
      <c r="G30" s="33">
        <f>IFERROR(INDEX('100 Cims FEEC'!$G$5:$G$526,MATCH(F30,'100 Cims FEEC'!$A$5:$A$526,0)),"No")</f>
        <v/>
      </c>
      <c r="H30" s="54">
        <f>IFERROR(IF(INDEX('100 Cims FEEC'!$H$5:$H$526,MATCH(F30,'100 Cims FEEC'!$A$5:$A$526,0))="","",INDEX('100 Cims FEEC'!$H$5:$H$526,MATCH(F30,'100 Cims FEEC'!$A$5:$A$526,0))),"")</f>
        <v/>
      </c>
    </row>
    <row r="31">
      <c r="A31" s="53" t="inlineStr">
        <is>
          <t>Moianès</t>
        </is>
      </c>
      <c r="B31" s="32" t="inlineStr">
        <is>
          <t>Serrat de Sant Joan</t>
        </is>
      </c>
      <c r="C31" s="52" t="n">
        <v>1065</v>
      </c>
      <c r="D31" s="53" t="inlineStr">
        <is>
          <t>Serralada Prelitoral</t>
        </is>
      </c>
      <c r="E31" s="33" t="inlineStr">
        <is>
          <t>No</t>
        </is>
      </c>
      <c r="F31" s="60" t="n"/>
      <c r="G31" s="33"/>
      <c r="H31" s="54"/>
    </row>
    <row r="32">
      <c r="A32" s="53" t="inlineStr">
        <is>
          <t>Garrigues</t>
        </is>
      </c>
      <c r="B32" s="32" t="inlineStr">
        <is>
          <t>La Cogulla</t>
        </is>
      </c>
      <c r="C32" s="52" t="n">
        <v>1022</v>
      </c>
      <c r="D32" s="53" t="inlineStr">
        <is>
          <t>Serra de la Llena</t>
        </is>
      </c>
      <c r="E32" s="33" t="inlineStr">
        <is>
          <t>No</t>
        </is>
      </c>
      <c r="F32" s="60" t="n"/>
      <c r="G32" s="33"/>
      <c r="H32" s="54"/>
    </row>
    <row r="33">
      <c r="A33" s="53" t="inlineStr">
        <is>
          <t>Alt Camp</t>
        </is>
      </c>
      <c r="B33" s="32" t="inlineStr">
        <is>
          <t>Punta de Barrina</t>
        </is>
      </c>
      <c r="C33" s="52" t="n">
        <v>1013.6</v>
      </c>
      <c r="D33" s="53" t="inlineStr">
        <is>
          <t>Muntanyes de Prades</t>
        </is>
      </c>
      <c r="E33" s="33" t="inlineStr">
        <is>
          <t>No</t>
        </is>
      </c>
      <c r="F33" s="60" t="n"/>
      <c r="G33" s="33"/>
      <c r="H33" s="54"/>
    </row>
    <row r="34">
      <c r="A34" s="53" t="inlineStr">
        <is>
          <t>Gironès</t>
        </is>
      </c>
      <c r="B34" s="32" t="inlineStr">
        <is>
          <t>Puigsou</t>
        </is>
      </c>
      <c r="C34" s="52" t="n">
        <v>991.3</v>
      </c>
      <c r="D34" s="53" t="inlineStr">
        <is>
          <t>Serralada Transversal</t>
        </is>
      </c>
      <c r="E34" s="33" t="inlineStr">
        <is>
          <t>No</t>
        </is>
      </c>
      <c r="F34" s="60" t="n"/>
      <c r="G34" s="33"/>
      <c r="H34" s="54"/>
    </row>
    <row r="35">
      <c r="A35" s="53" t="inlineStr">
        <is>
          <t>Ribera d'Ebre</t>
        </is>
      </c>
      <c r="B35" s="32" t="inlineStr">
        <is>
          <t>La Creu de Santos</t>
        </is>
      </c>
      <c r="C35" s="52" t="n">
        <v>941.9</v>
      </c>
      <c r="D35" s="53" t="inlineStr">
        <is>
          <t>Serra de Cardó</t>
        </is>
      </c>
      <c r="E35" s="33" t="inlineStr">
        <is>
          <t>Essencial</t>
        </is>
      </c>
      <c r="F35" s="60" t="inlineStr">
        <is>
          <t>Creu de Santos</t>
        </is>
      </c>
      <c r="G35" s="33">
        <f>IFERROR(INDEX('100 Cims FEEC'!$G$5:$G$526,MATCH(F35,'100 Cims FEEC'!$A$5:$A$526,0)),"No")</f>
        <v/>
      </c>
      <c r="H35" s="54">
        <f>IFERROR(IF(INDEX('100 Cims FEEC'!$H$5:$H$526,MATCH(F35,'100 Cims FEEC'!$A$5:$A$526,0))="","",INDEX('100 Cims FEEC'!$H$5:$H$526,MATCH(F35,'100 Cims FEEC'!$A$5:$A$526,0))),"")</f>
        <v/>
      </c>
    </row>
    <row r="36">
      <c r="A36" s="53" t="inlineStr">
        <is>
          <t>Alt Penedès</t>
        </is>
      </c>
      <c r="B36" s="32" t="inlineStr">
        <is>
          <t>Puig de Solanes</t>
        </is>
      </c>
      <c r="C36" s="52" t="n">
        <v>914</v>
      </c>
      <c r="D36" s="53" t="inlineStr">
        <is>
          <t>Serralada prelitoral</t>
        </is>
      </c>
      <c r="E36" s="33" t="inlineStr">
        <is>
          <t>No</t>
        </is>
      </c>
      <c r="F36" s="60" t="n"/>
      <c r="G36" s="33"/>
      <c r="H36" s="54"/>
    </row>
    <row r="37">
      <c r="A37" s="53" t="inlineStr">
        <is>
          <t>Pla de l'Estany</t>
        </is>
      </c>
      <c r="B37" s="32" t="inlineStr">
        <is>
          <t>Comaestremer</t>
        </is>
      </c>
      <c r="C37" s="52" t="n">
        <v>885.8</v>
      </c>
      <c r="D37" s="53" t="inlineStr">
        <is>
          <t>Serra de Portelles</t>
        </is>
      </c>
      <c r="E37" s="33" t="inlineStr">
        <is>
          <t>No</t>
        </is>
      </c>
      <c r="F37" s="60" t="n"/>
      <c r="G37" s="33"/>
      <c r="H37" s="54"/>
    </row>
    <row r="38">
      <c r="A38" s="53" t="inlineStr">
        <is>
          <t>Baix Penedès</t>
        </is>
      </c>
      <c r="B38" s="32" t="inlineStr">
        <is>
          <t>Puig de la Talaia</t>
        </is>
      </c>
      <c r="C38" s="52" t="n">
        <v>861.3</v>
      </c>
      <c r="D38" s="53" t="inlineStr">
        <is>
          <t>Serra del Montmell</t>
        </is>
      </c>
      <c r="E38" s="33" t="inlineStr">
        <is>
          <t>No</t>
        </is>
      </c>
      <c r="F38" s="60" t="n"/>
      <c r="G38" s="33"/>
      <c r="H38" s="54"/>
    </row>
    <row r="39">
      <c r="A39" s="53" t="inlineStr">
        <is>
          <t>Segarra</t>
        </is>
      </c>
      <c r="B39" s="32" t="inlineStr">
        <is>
          <t>Serra de Montfred</t>
        </is>
      </c>
      <c r="C39" s="52" t="n">
        <v>833</v>
      </c>
      <c r="D39" s="53" t="inlineStr">
        <is>
          <t>Serra de Montfred (Depresió central)</t>
        </is>
      </c>
      <c r="E39" s="33" t="inlineStr">
        <is>
          <t>No</t>
        </is>
      </c>
      <c r="F39" s="60" t="n"/>
      <c r="G39" s="33"/>
      <c r="H39" s="54"/>
    </row>
    <row r="40">
      <c r="A40" s="53" t="inlineStr">
        <is>
          <t>Urgell</t>
        </is>
      </c>
      <c r="B40" s="32" t="inlineStr">
        <is>
          <t>Tossal Gros de Vallbona</t>
        </is>
      </c>
      <c r="C40" s="52" t="n">
        <v>802.9</v>
      </c>
      <c r="D40" s="53" t="inlineStr">
        <is>
          <t>Depressió central</t>
        </is>
      </c>
      <c r="E40" s="33" t="inlineStr">
        <is>
          <t>Essencial</t>
        </is>
      </c>
      <c r="F40" s="60" t="inlineStr">
        <is>
          <t>Tossal Gros de Vallbona</t>
        </is>
      </c>
      <c r="G40" s="33">
        <f>IFERROR(INDEX('100 Cims FEEC'!$G$5:$G$526,MATCH(F40,'100 Cims FEEC'!$A$5:$A$526,0)),"No")</f>
        <v/>
      </c>
      <c r="H40" s="54">
        <f>IFERROR(IF(INDEX('100 Cims FEEC'!$H$5:$H$526,MATCH(F40,'100 Cims FEEC'!$A$5:$A$526,0))="","",INDEX('100 Cims FEEC'!$H$5:$H$526,MATCH(F40,'100 Cims FEEC'!$A$5:$A$526,0))),"")</f>
        <v/>
      </c>
    </row>
    <row r="41">
      <c r="A41" s="53" t="inlineStr">
        <is>
          <t>Maresme</t>
        </is>
      </c>
      <c r="B41" s="32" t="inlineStr">
        <is>
          <t>Turó d'en Vives</t>
        </is>
      </c>
      <c r="C41" s="52" t="n">
        <v>765.8</v>
      </c>
      <c r="D41" s="53" t="inlineStr">
        <is>
          <t>Massís del Montnegre</t>
        </is>
      </c>
      <c r="E41" s="33" t="inlineStr">
        <is>
          <t>No</t>
        </is>
      </c>
      <c r="F41" s="60" t="n"/>
      <c r="G41" s="33"/>
      <c r="H41" s="54"/>
    </row>
    <row r="42">
      <c r="A42" s="53" t="inlineStr">
        <is>
          <t>Garraf</t>
        </is>
      </c>
      <c r="B42" s="32" t="inlineStr">
        <is>
          <t>Puig de la Mola</t>
        </is>
      </c>
      <c r="C42" s="52" t="n">
        <v>533.8</v>
      </c>
      <c r="D42" s="53" t="inlineStr">
        <is>
          <t>Massís del Garraf</t>
        </is>
      </c>
      <c r="E42" s="33" t="inlineStr">
        <is>
          <t>No essencial</t>
        </is>
      </c>
      <c r="F42" s="60" t="inlineStr">
        <is>
          <t>Puig de la Mola</t>
        </is>
      </c>
      <c r="G42" s="33">
        <f>IFERROR(INDEX('100 Cims FEEC'!$G$5:$G$526,MATCH(F42,'100 Cims FEEC'!$A$5:$A$526,0)),"No")</f>
        <v/>
      </c>
      <c r="H42" s="54">
        <f>IFERROR(IF(INDEX('100 Cims FEEC'!$H$5:$H$526,MATCH(F42,'100 Cims FEEC'!$A$5:$A$526,0))="","",INDEX('100 Cims FEEC'!$H$5:$H$526,MATCH(F42,'100 Cims FEEC'!$A$5:$A$526,0))),"")</f>
        <v/>
      </c>
    </row>
    <row r="43">
      <c r="A43" s="53" t="inlineStr">
        <is>
          <t>Baix Empordà</t>
        </is>
      </c>
      <c r="B43" s="32" t="inlineStr">
        <is>
          <t>Puig d'Aiguabona</t>
        </is>
      </c>
      <c r="C43" s="52" t="n">
        <v>533.1</v>
      </c>
      <c r="D43" s="53" t="inlineStr">
        <is>
          <t>Massís de les Gavarres</t>
        </is>
      </c>
      <c r="E43" s="33" t="inlineStr">
        <is>
          <t>No</t>
        </is>
      </c>
      <c r="F43" s="60" t="n"/>
      <c r="G43" s="33"/>
      <c r="H43" s="54"/>
    </row>
    <row r="44">
      <c r="A44" s="53" t="inlineStr">
        <is>
          <t>Barcelonès</t>
        </is>
      </c>
      <c r="B44" s="32" t="inlineStr">
        <is>
          <t>Tibidabo</t>
        </is>
      </c>
      <c r="C44" s="52" t="n">
        <v>516.2</v>
      </c>
      <c r="D44" s="53" t="inlineStr">
        <is>
          <t>Serra de Collserola</t>
        </is>
      </c>
      <c r="E44" s="33" t="inlineStr">
        <is>
          <t>No</t>
        </is>
      </c>
      <c r="F44" s="60" t="n"/>
      <c r="G44" s="33"/>
      <c r="H44" s="54"/>
    </row>
    <row r="45">
      <c r="A45" s="53" t="inlineStr">
        <is>
          <t>Segrià</t>
        </is>
      </c>
      <c r="B45" s="32" t="inlineStr">
        <is>
          <t>Puntal dels Escambrons</t>
        </is>
      </c>
      <c r="C45" s="52" t="n">
        <v>500</v>
      </c>
      <c r="D45" s="53" t="inlineStr">
        <is>
          <t>Depressió central</t>
        </is>
      </c>
      <c r="E45" s="33" t="inlineStr">
        <is>
          <t>No</t>
        </is>
      </c>
      <c r="F45" s="60" t="n"/>
      <c r="G45" s="33"/>
      <c r="H45" s="54"/>
    </row>
    <row r="46">
      <c r="A46" s="53" t="inlineStr">
        <is>
          <t>Pla d'Urgell</t>
        </is>
      </c>
      <c r="B46" s="32" t="inlineStr">
        <is>
          <t>Lo Tossal</t>
        </is>
      </c>
      <c r="C46" s="52" t="n">
        <v>348</v>
      </c>
      <c r="D46" s="53" t="inlineStr">
        <is>
          <t>Depressió central</t>
        </is>
      </c>
      <c r="E46" s="33" t="inlineStr">
        <is>
          <t>No</t>
        </is>
      </c>
      <c r="F46" s="60" t="n"/>
      <c r="G46" s="33"/>
      <c r="H46" s="54"/>
    </row>
    <row r="47">
      <c r="A47" s="53" t="inlineStr">
        <is>
          <t>Tarragonès</t>
        </is>
      </c>
      <c r="B47" s="32" t="inlineStr">
        <is>
          <t>La Mola</t>
        </is>
      </c>
      <c r="C47" s="52" t="n">
        <v>316.6</v>
      </c>
      <c r="D47" s="53" t="inlineStr">
        <is>
          <t>Serralada Prelitoral</t>
        </is>
      </c>
      <c r="E47" s="33" t="inlineStr">
        <is>
          <t>Essencial</t>
        </is>
      </c>
      <c r="F47" s="60" t="inlineStr">
        <is>
          <t>La Mola</t>
        </is>
      </c>
      <c r="G47" s="33">
        <f>IFERROR(INDEX('100 Cims FEEC'!$G$5:$G$526,MATCH(F47,'100 Cims FEEC'!$A$5:$A$526,0)),"No")</f>
        <v/>
      </c>
      <c r="H47" s="54">
        <f>IFERROR(IF(INDEX('100 Cims FEEC'!$H$5:$H$526,MATCH(F47,'100 Cims FEEC'!$A$5:$A$526,0))="","",INDEX('100 Cims FEEC'!$H$5:$H$526,MATCH(F47,'100 Cims FEEC'!$A$5:$A$526,0))),"")</f>
        <v/>
      </c>
    </row>
  </sheetData>
  <conditionalFormatting sqref="A5:H47">
    <cfRule type="expression" priority="1" dxfId="0">
      <formula>$G5="Sí"</formula>
    </cfRule>
  </conditionalFormatting>
  <conditionalFormatting sqref="G5:G47">
    <cfRule type="cellIs" priority="2" operator="equal" dxfId="2">
      <formula>"Sí"</formula>
    </cfRule>
    <cfRule type="cellIs" priority="3" operator="equal" dxfId="3">
      <formula>"No"</formula>
    </cfRule>
  </conditionalFormatting>
  <conditionalFormatting sqref="E5:E47">
    <cfRule type="cellIs" priority="4" operator="equal" dxfId="4">
      <formula>"Essencial"</formula>
    </cfRule>
    <cfRule type="cellIs" priority="5" operator="equal" dxfId="3">
      <formula>"No"</formula>
    </cfRule>
  </conditionalFormatting>
  <dataValidations count="1">
    <dataValidation sqref="G5:G47" showDropDown="0" showInputMessage="0" showErrorMessage="0" allowBlank="0" type="list">
      <formula1>"Sí,No"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C9D7A8"/>
    <outlinePr summaryBelow="1" summaryRight="1"/>
    <pageSetUpPr/>
  </sheetPr>
  <dimension ref="A1:N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0" customWidth="1" min="2" max="2"/>
    <col width="11" customWidth="1" min="3" max="3"/>
    <col width="12" customWidth="1" min="4" max="4"/>
    <col width="12" customWidth="1" min="5" max="5"/>
    <col width="32" customWidth="1" min="6" max="6"/>
    <col width="14" customWidth="1" min="7" max="7"/>
    <col width="22" customWidth="1" min="8" max="8"/>
    <col width="30" customWidth="1" min="9" max="9"/>
    <col width="22" customWidth="1" min="10" max="10"/>
    <col width="12" customWidth="1" min="11" max="11"/>
    <col width="11" customWidth="1" min="12" max="12"/>
    <col width="11" customWidth="1" min="13" max="13"/>
    <col width="9" customWidth="1" min="14" max="14"/>
  </cols>
  <sheetData>
    <row r="1" ht="30" customHeight="1">
      <c r="A1" s="50" t="inlineStr">
        <is>
          <t>Els meus punts</t>
        </is>
      </c>
    </row>
    <row r="2" ht="18" customHeight="1">
      <c r="A2" s="2" t="inlineStr">
        <is>
          <t>Els teus punts, agrupats per carpeta, amb l'encreuament amb les llistes FEEC i de tresmils</t>
        </is>
      </c>
    </row>
    <row r="4" ht="32" customHeight="1">
      <c r="A4" s="29" t="inlineStr">
        <is>
          <t>Grup (carpeta)</t>
        </is>
      </c>
      <c r="B4" s="29" t="inlineStr">
        <is>
          <t>Nom</t>
        </is>
      </c>
      <c r="C4" s="29" t="inlineStr">
        <is>
          <t>Altitud (m)</t>
        </is>
      </c>
      <c r="D4" s="51" t="inlineStr">
        <is>
          <t>Data</t>
        </is>
      </c>
      <c r="E4" s="29" t="inlineStr">
        <is>
          <t>Font altitud</t>
        </is>
      </c>
      <c r="F4" s="30" t="inlineStr">
        <is>
          <t>Cim FEEC</t>
        </is>
      </c>
      <c r="G4" s="30" t="inlineStr">
        <is>
          <t>Tipus FEEC</t>
        </is>
      </c>
      <c r="H4" s="30" t="inlineStr">
        <is>
          <t>Comarca FEEC</t>
        </is>
      </c>
      <c r="I4" s="29" t="inlineStr">
        <is>
          <t>Tresmil (llista 3000)</t>
        </is>
      </c>
      <c r="J4" s="29" t="inlineStr">
        <is>
          <t>Llista UIAA</t>
        </is>
      </c>
      <c r="K4" s="57" t="inlineStr">
        <is>
          <t>Tresmil català</t>
        </is>
      </c>
      <c r="L4" s="29" t="inlineStr">
        <is>
          <t>Latitud</t>
        </is>
      </c>
      <c r="M4" s="29" t="inlineStr">
        <is>
          <t>Longitud</t>
        </is>
      </c>
      <c r="N4" s="29" t="inlineStr">
        <is>
          <t>Mapa</t>
        </is>
      </c>
    </row>
    <row r="5">
      <c r="A5" s="53"/>
      <c r="B5" s="32"/>
      <c r="C5" s="52"/>
      <c r="D5" s="54"/>
      <c r="E5" s="33"/>
      <c r="F5" s="53"/>
      <c r="G5" s="33"/>
      <c r="H5" s="53"/>
      <c r="I5" s="53"/>
      <c r="J5" s="33"/>
      <c r="K5" s="33"/>
      <c r="L5" s="55"/>
      <c r="M5" s="55"/>
      <c r="N5" s="56"/>
    </row>
    <row r="6">
      <c r="A6" s="53"/>
      <c r="B6" s="32"/>
      <c r="C6" s="52"/>
      <c r="D6" s="54"/>
      <c r="E6" s="33"/>
      <c r="F6" s="53"/>
      <c r="G6" s="33"/>
      <c r="H6" s="53"/>
      <c r="I6" s="53"/>
      <c r="J6" s="33"/>
      <c r="K6" s="33"/>
      <c r="L6" s="55"/>
      <c r="M6" s="55"/>
      <c r="N6" s="56"/>
    </row>
  </sheetData>
  <conditionalFormatting sqref="A5:A261">
    <cfRule type="cellIs" priority="1" operator="equal" dxfId="13">
      <formula>"Cims"</formula>
    </cfRule>
    <cfRule type="cellIs" priority="2" operator="equal" dxfId="12">
      <formula>"Escalades"</formula>
    </cfRule>
    <cfRule type="cellIs" priority="3" operator="equal" dxfId="10">
      <formula>"Ferrades"</formula>
    </cfRule>
    <cfRule type="cellIs" priority="4" operator="equal" dxfId="7">
      <formula>"Alpinisme"</formula>
    </cfRule>
    <cfRule type="cellIs" priority="5" operator="equal" dxfId="6">
      <formula>"Projectes"</formula>
    </cfRule>
    <cfRule type="cellIs" priority="6" operator="equal" dxfId="4">
      <formula>"Internacionals"</formula>
    </cfRule>
    <cfRule type="cellIs" priority="7" operator="equal" dxfId="14">
      <formula>"Asturias"</formula>
    </cfRule>
    <cfRule type="cellIs" priority="8" operator="equal" dxfId="14">
      <formula>"Galicia"</formula>
    </cfRule>
  </conditionalFormatting>
  <conditionalFormatting sqref="G5:G261">
    <cfRule type="cellIs" priority="9" operator="equal" dxfId="4">
      <formula>"Essencial"</formula>
    </cfRule>
    <cfRule type="cellIs" priority="10" operator="equal" dxfId="15">
      <formula>"No essencial"</formula>
    </cfRule>
  </conditionalFormatting>
  <conditionalFormatting sqref="I5:I261">
    <cfRule type="expression" priority="11" dxfId="16">
      <formula>LEN($I5)&gt;0</formula>
    </cfRule>
  </conditionalFormatting>
  <conditionalFormatting sqref="J5:J261">
    <cfRule type="cellIs" priority="12" operator="equal" dxfId="17">
      <formula>"Principal"</formula>
    </cfRule>
  </conditionalFormatting>
  <conditionalFormatting sqref="K5:K261">
    <cfRule type="cellIs" priority="13" operator="equal" dxfId="10">
      <formula>"Sí"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F5C6A5"/>
    <outlinePr summaryBelow="1" summaryRight="1"/>
    <pageSetUpPr/>
  </sheetPr>
  <dimension ref="A1:K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8" customWidth="1" min="3" max="3"/>
    <col width="12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1" customWidth="1" min="10" max="10"/>
    <col width="12" customWidth="1" min="11" max="11"/>
  </cols>
  <sheetData>
    <row r="1" ht="30" customHeight="1">
      <c r="A1" s="50" t="inlineStr">
        <is>
          <t>Rutes i travesses</t>
        </is>
      </c>
    </row>
    <row r="2" ht="18" customHeight="1">
      <c r="A2" s="2" t="inlineStr">
        <is>
          <t>Tracks del KMZ · distància i desnivell calculats a partir dels punts del track (filtre de soroll de 5 m)</t>
        </is>
      </c>
    </row>
    <row r="4" ht="32" customHeight="1">
      <c r="A4" s="29" t="inlineStr">
        <is>
          <t>Ruta</t>
        </is>
      </c>
      <c r="B4" s="29" t="inlineStr">
        <is>
          <t>Etapa / track</t>
        </is>
      </c>
      <c r="C4" s="29" t="inlineStr">
        <is>
          <t>Any</t>
        </is>
      </c>
      <c r="D4" s="29" t="inlineStr">
        <is>
          <t>Data inici</t>
        </is>
      </c>
      <c r="E4" s="29" t="inlineStr">
        <is>
          <t>Distància (km)</t>
        </is>
      </c>
      <c r="F4" s="29" t="inlineStr">
        <is>
          <t>Desnivell + (m)</t>
        </is>
      </c>
      <c r="G4" s="29" t="inlineStr">
        <is>
          <t>Desnivell − (m)</t>
        </is>
      </c>
      <c r="H4" s="29" t="inlineStr">
        <is>
          <t>Alt. màx. (m)</t>
        </is>
      </c>
      <c r="I4" s="29" t="inlineStr">
        <is>
          <t>Alt. mín. (m)</t>
        </is>
      </c>
      <c r="J4" s="29" t="inlineStr">
        <is>
          <t>Durada (h)</t>
        </is>
      </c>
      <c r="K4" s="29" t="inlineStr">
        <is>
          <t>Inici (mapa)</t>
        </is>
      </c>
    </row>
    <row r="5">
      <c r="A5" s="32"/>
      <c r="B5" s="53"/>
      <c r="C5" s="33"/>
      <c r="D5" s="33"/>
      <c r="E5" s="62"/>
      <c r="F5" s="52"/>
      <c r="G5" s="52"/>
      <c r="H5" s="52"/>
      <c r="I5" s="52"/>
      <c r="J5" s="62"/>
      <c r="K5" s="56"/>
    </row>
  </sheetData>
  <conditionalFormatting sqref="E5:E11">
    <cfRule type="dataBar" priority="1">
      <dataBar>
        <cfvo type="num" val="0"/>
        <cfvo type="max"/>
        <color rgb="00F5C6A5"/>
      </dataBar>
    </cfRule>
  </conditionalFormatting>
  <conditionalFormatting sqref="F5:F11">
    <cfRule type="dataBar" priority="2">
      <dataBar>
        <cfvo type="num" val="0"/>
        <cfvo type="max"/>
        <color rgb="00A8D8B9"/>
      </dataBar>
    </cfRule>
  </conditionalFormatting>
  <pageMargins left="0.75" right="0.75" top="1" bottom="1" header="0.5" footer="0.5"/>
  <tableParts count="1"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2026-10-05T10:26:07Z</dcterms:created>
  <dcterms:modified xmlns:dcterms="http://purl.org/dc/terms/" xmlns:xsi="http://www.w3.org/2001/XMLSchema-instance" xsi:type="dcterms:W3CDTF">2026-10-05T10:26:08Z</dcterms:modified>
</cp:coreProperties>
</file>